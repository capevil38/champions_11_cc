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4"/>
    <sheet state="visible" name="Players" sheetId="2" r:id="rId5"/>
    <sheet state="visible" name="Batting" sheetId="3" r:id="rId6"/>
    <sheet state="visible" name="Bowling" sheetId="4" r:id="rId7"/>
    <sheet state="visible" name="Fielding" sheetId="5" r:id="rId8"/>
    <sheet state="visible" name="Player_Career_Stats" sheetId="6" r:id="rId9"/>
    <sheet state="visible" name="Leaderboards" sheetId="7" r:id="rId10"/>
    <sheet state="visible" name="Team_Stats" sheetId="8" r:id="rId11"/>
  </sheets>
  <definedNames>
    <definedName hidden="1" localSheetId="0" name="_xlnm._FilterDatabase">Matches!$A$1:$AI$10</definedName>
  </definedNames>
  <calcPr/>
</workbook>
</file>

<file path=xl/sharedStrings.xml><?xml version="1.0" encoding="utf-8"?>
<sst xmlns="http://schemas.openxmlformats.org/spreadsheetml/2006/main" count="702" uniqueCount="155">
  <si>
    <t>MatchID</t>
  </si>
  <si>
    <t>Opponent</t>
  </si>
  <si>
    <t>Team Runs</t>
  </si>
  <si>
    <t>Team Wickets Lost</t>
  </si>
  <si>
    <t>Team Overs Played</t>
  </si>
  <si>
    <t>Opponent Runs</t>
  </si>
  <si>
    <t>Opponent Wickets Lost</t>
  </si>
  <si>
    <t>Opponent Overs Played</t>
  </si>
  <si>
    <t>Tournament</t>
  </si>
  <si>
    <t>Round</t>
  </si>
  <si>
    <t>MatchType</t>
  </si>
  <si>
    <t>Overs</t>
  </si>
  <si>
    <t>Date</t>
  </si>
  <si>
    <t>Time</t>
  </si>
  <si>
    <t>Venue</t>
  </si>
  <si>
    <t>Ball Material</t>
  </si>
  <si>
    <t>Ball Color</t>
  </si>
  <si>
    <t>Toss</t>
  </si>
  <si>
    <t>Decision</t>
  </si>
  <si>
    <t>Innings Type</t>
  </si>
  <si>
    <t>Match Result</t>
  </si>
  <si>
    <t>APJ Kalam Team</t>
  </si>
  <si>
    <t>Practice Match</t>
  </si>
  <si>
    <t>NA</t>
  </si>
  <si>
    <t>Limited Overs</t>
  </si>
  <si>
    <t>SGB ground</t>
  </si>
  <si>
    <t>Leather</t>
  </si>
  <si>
    <t>Red</t>
  </si>
  <si>
    <t>Lost</t>
  </si>
  <si>
    <t>Chasing</t>
  </si>
  <si>
    <t>Katta 11s</t>
  </si>
  <si>
    <t>Youth Ground Madhavaram</t>
  </si>
  <si>
    <t>Rising Mavericks CC</t>
  </si>
  <si>
    <t>No Result</t>
  </si>
  <si>
    <t>Dangerous Youth B</t>
  </si>
  <si>
    <t>Won</t>
  </si>
  <si>
    <t>Batting First</t>
  </si>
  <si>
    <t>Tie</t>
  </si>
  <si>
    <t xml:space="preserve">Team 404
</t>
  </si>
  <si>
    <t>Agni College Ground</t>
  </si>
  <si>
    <t>White</t>
  </si>
  <si>
    <t xml:space="preserve">Real Rulers
</t>
  </si>
  <si>
    <t>BELIEVERS EDEN GARDEN GROUND</t>
  </si>
  <si>
    <t>Tea Kada Rajassss</t>
  </si>
  <si>
    <t>Batting FIrst</t>
  </si>
  <si>
    <t>Deadly Elevens</t>
  </si>
  <si>
    <t>Shadowfax Hurricanes</t>
  </si>
  <si>
    <t>PlayerID</t>
  </si>
  <si>
    <t>Player Name</t>
  </si>
  <si>
    <t>Role</t>
  </si>
  <si>
    <t>Bat Style</t>
  </si>
  <si>
    <t>Bowl Style</t>
  </si>
  <si>
    <t>P01</t>
  </si>
  <si>
    <t>Sriram A</t>
  </si>
  <si>
    <t>All-rounder</t>
  </si>
  <si>
    <t>RHB</t>
  </si>
  <si>
    <t>RAM</t>
  </si>
  <si>
    <t>P02</t>
  </si>
  <si>
    <t>Gautam Raj</t>
  </si>
  <si>
    <t>P03</t>
  </si>
  <si>
    <t>Jai</t>
  </si>
  <si>
    <t>P04</t>
  </si>
  <si>
    <t>Jeeva</t>
  </si>
  <si>
    <t>RAS</t>
  </si>
  <si>
    <t>P05</t>
  </si>
  <si>
    <t>Naveen</t>
  </si>
  <si>
    <t>Bowler</t>
  </si>
  <si>
    <t>P06</t>
  </si>
  <si>
    <t>Sanjay V</t>
  </si>
  <si>
    <t>P07</t>
  </si>
  <si>
    <t>Saravanan G</t>
  </si>
  <si>
    <t>Wicket-keeper</t>
  </si>
  <si>
    <t>P08</t>
  </si>
  <si>
    <t>Senthil kumar</t>
  </si>
  <si>
    <t>P09</t>
  </si>
  <si>
    <t>Shivaganesh</t>
  </si>
  <si>
    <t>P10</t>
  </si>
  <si>
    <t>Tharun M</t>
  </si>
  <si>
    <t>P11</t>
  </si>
  <si>
    <t>Vikram</t>
  </si>
  <si>
    <t>P12</t>
  </si>
  <si>
    <t xml:space="preserve">Mukundhan S
</t>
  </si>
  <si>
    <t>P13</t>
  </si>
  <si>
    <t>Padhu</t>
  </si>
  <si>
    <t>P14</t>
  </si>
  <si>
    <t>Ravi Shankar</t>
  </si>
  <si>
    <t>P15</t>
  </si>
  <si>
    <t>Mahesh</t>
  </si>
  <si>
    <t>P16</t>
  </si>
  <si>
    <t>Vivek</t>
  </si>
  <si>
    <t>Batsman</t>
  </si>
  <si>
    <t>P17</t>
  </si>
  <si>
    <t>Ahil</t>
  </si>
  <si>
    <t>P18</t>
  </si>
  <si>
    <t>Bhuvaneshvaran A</t>
  </si>
  <si>
    <t>P19</t>
  </si>
  <si>
    <t>Karthik</t>
  </si>
  <si>
    <t>P20</t>
  </si>
  <si>
    <t>Jagath</t>
  </si>
  <si>
    <t>P21</t>
  </si>
  <si>
    <t>Saibullah</t>
  </si>
  <si>
    <t>P22</t>
  </si>
  <si>
    <t>Prasanth G</t>
  </si>
  <si>
    <t>P23</t>
  </si>
  <si>
    <t>Manoj</t>
  </si>
  <si>
    <t>P24</t>
  </si>
  <si>
    <t>Imtiyaz</t>
  </si>
  <si>
    <t>P25</t>
  </si>
  <si>
    <t>Vivek VNA</t>
  </si>
  <si>
    <t>Runs</t>
  </si>
  <si>
    <t>Balls</t>
  </si>
  <si>
    <t>Fours</t>
  </si>
  <si>
    <t>Sixes</t>
  </si>
  <si>
    <t>Out</t>
  </si>
  <si>
    <t>Dismissal Type</t>
  </si>
  <si>
    <t>Strike Rate</t>
  </si>
  <si>
    <t>Yes</t>
  </si>
  <si>
    <t>Caught</t>
  </si>
  <si>
    <t>Bowled</t>
  </si>
  <si>
    <t>No</t>
  </si>
  <si>
    <t>Not Out</t>
  </si>
  <si>
    <t>Run Out</t>
  </si>
  <si>
    <t>LBW</t>
  </si>
  <si>
    <t>Stumped</t>
  </si>
  <si>
    <t>Maidens</t>
  </si>
  <si>
    <t>Wickets</t>
  </si>
  <si>
    <t>Dots</t>
  </si>
  <si>
    <t>Wides</t>
  </si>
  <si>
    <t>No-Balls</t>
  </si>
  <si>
    <t>Economy</t>
  </si>
  <si>
    <t xml:space="preserve"> PlayerID</t>
  </si>
  <si>
    <t>Catches</t>
  </si>
  <si>
    <t>Run Outs</t>
  </si>
  <si>
    <t>Stumpings</t>
  </si>
  <si>
    <t>Matches</t>
  </si>
  <si>
    <t>Innings</t>
  </si>
  <si>
    <t>Not Outs</t>
  </si>
  <si>
    <t>Avg</t>
  </si>
  <si>
    <t>SR</t>
  </si>
  <si>
    <t>Balls Bowled</t>
  </si>
  <si>
    <t>Bowl Runs</t>
  </si>
  <si>
    <t>Wkts</t>
  </si>
  <si>
    <t>Econ</t>
  </si>
  <si>
    <t>Dot Balls</t>
  </si>
  <si>
    <t>Fours Conceded</t>
  </si>
  <si>
    <t>Sixes Conceded</t>
  </si>
  <si>
    <t>Top Runs</t>
  </si>
  <si>
    <t>Top Wickets</t>
  </si>
  <si>
    <t>Most Catches</t>
  </si>
  <si>
    <t>Win %</t>
  </si>
  <si>
    <t>Avg Team Runs</t>
  </si>
  <si>
    <t>Avg Opp Runs</t>
  </si>
  <si>
    <t>Avg Team RR</t>
  </si>
  <si>
    <t>Avg Opp RR</t>
  </si>
  <si>
    <t>Net 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</si>
</sst>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d mmm yyyy"/>
    <numFmt numFmtId="166" formatCode="d 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20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>
        <v>1.8418557E7</v>
      </c>
      <c r="B2" s="5" t="s">
        <v>21</v>
      </c>
      <c r="C2" s="5">
        <v>119.0</v>
      </c>
      <c r="D2" s="5">
        <v>10.0</v>
      </c>
      <c r="E2" s="5">
        <v>19.2</v>
      </c>
      <c r="F2" s="5">
        <v>268.0</v>
      </c>
      <c r="G2" s="5">
        <v>3.0</v>
      </c>
      <c r="H2" s="5">
        <v>23.0</v>
      </c>
      <c r="I2" s="5" t="s">
        <v>22</v>
      </c>
      <c r="J2" s="5" t="s">
        <v>23</v>
      </c>
      <c r="K2" s="5" t="s">
        <v>24</v>
      </c>
      <c r="L2" s="5">
        <v>23.0</v>
      </c>
      <c r="M2" s="6">
        <v>45864.0</v>
      </c>
      <c r="N2" s="7">
        <v>0.5833333333333334</v>
      </c>
      <c r="O2" s="5" t="s">
        <v>25</v>
      </c>
      <c r="P2" s="5" t="s">
        <v>26</v>
      </c>
      <c r="Q2" s="5" t="s">
        <v>27</v>
      </c>
      <c r="R2" s="5" t="s">
        <v>28</v>
      </c>
      <c r="S2" s="5" t="s">
        <v>23</v>
      </c>
      <c r="T2" s="5" t="s">
        <v>29</v>
      </c>
      <c r="U2" s="5" t="s">
        <v>28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>
      <c r="A3" s="5">
        <v>1.8642464E7</v>
      </c>
      <c r="B3" s="5" t="s">
        <v>30</v>
      </c>
      <c r="C3" s="5">
        <v>225.0</v>
      </c>
      <c r="D3" s="5">
        <v>10.0</v>
      </c>
      <c r="E3" s="5">
        <v>29.2</v>
      </c>
      <c r="F3" s="5">
        <v>250.0</v>
      </c>
      <c r="G3" s="5">
        <v>6.0</v>
      </c>
      <c r="H3" s="5">
        <v>30.0</v>
      </c>
      <c r="I3" s="5" t="s">
        <v>22</v>
      </c>
      <c r="J3" s="5" t="s">
        <v>23</v>
      </c>
      <c r="K3" s="5" t="s">
        <v>24</v>
      </c>
      <c r="L3" s="5">
        <v>30.0</v>
      </c>
      <c r="M3" s="9">
        <v>45878.0</v>
      </c>
      <c r="N3" s="7">
        <v>0.3159722222222222</v>
      </c>
      <c r="O3" s="5" t="s">
        <v>31</v>
      </c>
      <c r="P3" s="5" t="s">
        <v>26</v>
      </c>
      <c r="Q3" s="5" t="s">
        <v>27</v>
      </c>
      <c r="R3" s="5" t="s">
        <v>28</v>
      </c>
      <c r="S3" s="5" t="s">
        <v>23</v>
      </c>
      <c r="T3" s="5" t="s">
        <v>29</v>
      </c>
      <c r="U3" s="5" t="s">
        <v>28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>
      <c r="A4" s="5">
        <v>1.901901E7</v>
      </c>
      <c r="B4" s="5" t="s">
        <v>32</v>
      </c>
      <c r="C4" s="5">
        <v>141.0</v>
      </c>
      <c r="D4" s="5">
        <v>8.0</v>
      </c>
      <c r="E4" s="5">
        <v>25.5</v>
      </c>
      <c r="F4" s="5">
        <v>164.0</v>
      </c>
      <c r="G4" s="5">
        <v>10.0</v>
      </c>
      <c r="H4" s="5">
        <v>29.5</v>
      </c>
      <c r="I4" s="5" t="s">
        <v>22</v>
      </c>
      <c r="J4" s="5" t="s">
        <v>23</v>
      </c>
      <c r="K4" s="5" t="s">
        <v>24</v>
      </c>
      <c r="L4" s="5">
        <v>30.0</v>
      </c>
      <c r="M4" s="9">
        <v>45906.0</v>
      </c>
      <c r="N4" s="7">
        <v>0.5409722222222222</v>
      </c>
      <c r="O4" s="5" t="s">
        <v>31</v>
      </c>
      <c r="P4" s="5" t="s">
        <v>26</v>
      </c>
      <c r="Q4" s="5" t="s">
        <v>27</v>
      </c>
      <c r="R4" s="5" t="s">
        <v>28</v>
      </c>
      <c r="S4" s="5" t="s">
        <v>23</v>
      </c>
      <c r="T4" s="5" t="s">
        <v>29</v>
      </c>
      <c r="U4" s="5" t="s">
        <v>33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>
      <c r="A5" s="5">
        <v>1.9112746E7</v>
      </c>
      <c r="B5" s="5" t="s">
        <v>34</v>
      </c>
      <c r="C5" s="5">
        <v>227.0</v>
      </c>
      <c r="D5" s="5">
        <v>10.0</v>
      </c>
      <c r="E5" s="5">
        <v>29.5</v>
      </c>
      <c r="F5" s="5">
        <v>227.0</v>
      </c>
      <c r="G5" s="5">
        <v>10.0</v>
      </c>
      <c r="H5" s="5">
        <v>29.4</v>
      </c>
      <c r="I5" s="5" t="s">
        <v>22</v>
      </c>
      <c r="J5" s="5" t="s">
        <v>23</v>
      </c>
      <c r="K5" s="5" t="s">
        <v>24</v>
      </c>
      <c r="L5" s="5">
        <v>30.0</v>
      </c>
      <c r="M5" s="10">
        <v>45913.0</v>
      </c>
      <c r="N5" s="7">
        <v>0.5645833333333333</v>
      </c>
      <c r="O5" s="5" t="s">
        <v>31</v>
      </c>
      <c r="P5" s="5" t="s">
        <v>26</v>
      </c>
      <c r="Q5" s="5" t="s">
        <v>27</v>
      </c>
      <c r="R5" s="5" t="s">
        <v>35</v>
      </c>
      <c r="S5" s="5" t="s">
        <v>36</v>
      </c>
      <c r="T5" s="5" t="s">
        <v>36</v>
      </c>
      <c r="U5" s="5" t="s">
        <v>37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>
      <c r="A6" s="5">
        <v>1.9859354E7</v>
      </c>
      <c r="B6" s="5" t="s">
        <v>38</v>
      </c>
      <c r="C6" s="5">
        <v>153.0</v>
      </c>
      <c r="D6" s="5">
        <v>8.0</v>
      </c>
      <c r="E6" s="5">
        <v>21.0</v>
      </c>
      <c r="F6" s="5">
        <v>210.0</v>
      </c>
      <c r="G6" s="5">
        <v>5.0</v>
      </c>
      <c r="H6" s="5">
        <v>21.0</v>
      </c>
      <c r="I6" s="5" t="s">
        <v>22</v>
      </c>
      <c r="J6" s="5" t="s">
        <v>23</v>
      </c>
      <c r="K6" s="5" t="s">
        <v>24</v>
      </c>
      <c r="L6" s="5">
        <v>21.0</v>
      </c>
      <c r="M6" s="10">
        <v>45959.0</v>
      </c>
      <c r="N6" s="7">
        <v>0.775</v>
      </c>
      <c r="O6" s="5" t="s">
        <v>39</v>
      </c>
      <c r="P6" s="5" t="s">
        <v>26</v>
      </c>
      <c r="Q6" s="5" t="s">
        <v>40</v>
      </c>
      <c r="R6" s="5" t="s">
        <v>28</v>
      </c>
      <c r="S6" s="5" t="s">
        <v>23</v>
      </c>
      <c r="T6" s="5" t="s">
        <v>29</v>
      </c>
      <c r="U6" s="5" t="s">
        <v>28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>
      <c r="A7" s="5">
        <v>1.9989363E7</v>
      </c>
      <c r="B7" s="5" t="s">
        <v>41</v>
      </c>
      <c r="C7" s="5">
        <v>67.0</v>
      </c>
      <c r="D7" s="5">
        <v>10.0</v>
      </c>
      <c r="E7" s="5">
        <v>17.2</v>
      </c>
      <c r="F7" s="5">
        <v>83.0</v>
      </c>
      <c r="G7" s="5">
        <v>10.0</v>
      </c>
      <c r="H7" s="5">
        <v>15.4</v>
      </c>
      <c r="I7" s="5" t="s">
        <v>22</v>
      </c>
      <c r="J7" s="5" t="s">
        <v>23</v>
      </c>
      <c r="K7" s="5" t="s">
        <v>24</v>
      </c>
      <c r="L7" s="5">
        <v>25.0</v>
      </c>
      <c r="M7" s="9">
        <v>45969.0</v>
      </c>
      <c r="N7" s="7">
        <v>0.4444444444444444</v>
      </c>
      <c r="O7" s="5" t="s">
        <v>42</v>
      </c>
      <c r="P7" s="5" t="s">
        <v>26</v>
      </c>
      <c r="Q7" s="5" t="s">
        <v>27</v>
      </c>
      <c r="R7" s="5" t="s">
        <v>28</v>
      </c>
      <c r="S7" s="5" t="s">
        <v>23</v>
      </c>
      <c r="T7" s="5" t="s">
        <v>29</v>
      </c>
      <c r="U7" s="5" t="s">
        <v>28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>
      <c r="A8" s="5">
        <v>2.0156519E7</v>
      </c>
      <c r="B8" s="5" t="s">
        <v>43</v>
      </c>
      <c r="C8" s="5">
        <v>126.0</v>
      </c>
      <c r="D8" s="5">
        <v>10.0</v>
      </c>
      <c r="E8" s="5">
        <v>18.3</v>
      </c>
      <c r="F8" s="5">
        <v>127.0</v>
      </c>
      <c r="G8" s="5">
        <v>5.0</v>
      </c>
      <c r="H8" s="5">
        <v>18.1</v>
      </c>
      <c r="I8" s="5" t="s">
        <v>22</v>
      </c>
      <c r="J8" s="5" t="s">
        <v>23</v>
      </c>
      <c r="K8" s="5" t="s">
        <v>24</v>
      </c>
      <c r="L8" s="5">
        <v>22.0</v>
      </c>
      <c r="M8" s="10">
        <v>45976.0</v>
      </c>
      <c r="N8" s="7">
        <v>0.44513888888888886</v>
      </c>
      <c r="O8" s="5" t="s">
        <v>42</v>
      </c>
      <c r="P8" s="5" t="s">
        <v>26</v>
      </c>
      <c r="Q8" s="5" t="s">
        <v>27</v>
      </c>
      <c r="R8" s="5" t="s">
        <v>35</v>
      </c>
      <c r="S8" s="5" t="s">
        <v>36</v>
      </c>
      <c r="T8" s="5" t="s">
        <v>44</v>
      </c>
      <c r="U8" s="5" t="s">
        <v>28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>
      <c r="A9" s="5">
        <v>1.3848394E7</v>
      </c>
      <c r="B9" s="5" t="s">
        <v>45</v>
      </c>
      <c r="C9" s="5">
        <v>110.0</v>
      </c>
      <c r="D9" s="5">
        <v>10.0</v>
      </c>
      <c r="E9" s="5">
        <v>20.3</v>
      </c>
      <c r="F9" s="5">
        <v>161.0</v>
      </c>
      <c r="G9" s="5">
        <v>8.0</v>
      </c>
      <c r="H9" s="5">
        <v>25.0</v>
      </c>
      <c r="I9" s="5" t="s">
        <v>22</v>
      </c>
      <c r="J9" s="5" t="s">
        <v>23</v>
      </c>
      <c r="K9" s="5" t="s">
        <v>24</v>
      </c>
      <c r="L9" s="5">
        <v>25.0</v>
      </c>
      <c r="M9" s="9">
        <v>45996.0</v>
      </c>
      <c r="N9" s="7">
        <v>0.9763888888888889</v>
      </c>
      <c r="O9" s="5" t="s">
        <v>39</v>
      </c>
      <c r="P9" s="5" t="s">
        <v>26</v>
      </c>
      <c r="Q9" s="5" t="s">
        <v>40</v>
      </c>
      <c r="R9" s="5" t="s">
        <v>28</v>
      </c>
      <c r="S9" s="5" t="s">
        <v>23</v>
      </c>
      <c r="T9" s="5" t="s">
        <v>29</v>
      </c>
      <c r="U9" s="5" t="s">
        <v>28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>
      <c r="A10" s="5">
        <v>2.0648752E7</v>
      </c>
      <c r="B10" s="5" t="s">
        <v>46</v>
      </c>
      <c r="C10" s="5">
        <v>144.0</v>
      </c>
      <c r="D10" s="5">
        <v>6.0</v>
      </c>
      <c r="E10" s="5">
        <v>23.0</v>
      </c>
      <c r="F10" s="5">
        <v>147.0</v>
      </c>
      <c r="G10" s="5">
        <v>3.0</v>
      </c>
      <c r="H10" s="5">
        <v>17.5</v>
      </c>
      <c r="I10" s="5" t="s">
        <v>22</v>
      </c>
      <c r="J10" s="5" t="s">
        <v>23</v>
      </c>
      <c r="K10" s="5" t="s">
        <v>24</v>
      </c>
      <c r="L10" s="5">
        <v>23.0</v>
      </c>
      <c r="M10" s="10">
        <v>46004.0</v>
      </c>
      <c r="N10" s="7">
        <v>0.4375</v>
      </c>
      <c r="O10" s="5" t="s">
        <v>42</v>
      </c>
      <c r="P10" s="5" t="s">
        <v>26</v>
      </c>
      <c r="Q10" s="5" t="s">
        <v>40</v>
      </c>
      <c r="R10" s="5" t="s">
        <v>28</v>
      </c>
      <c r="S10" s="5" t="s">
        <v>23</v>
      </c>
      <c r="T10" s="5" t="s">
        <v>44</v>
      </c>
      <c r="U10" s="5" t="s">
        <v>28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</sheetData>
  <autoFilter ref="$A$1:$AI$10">
    <sortState ref="A1:AI10">
      <sortCondition ref="M1:M10"/>
    </sortState>
  </autoFilter>
  <dataValidations>
    <dataValidation type="list" allowBlank="1" showErrorMessage="1" sqref="U2:U1000">
      <formula1>"Lost,Won,Tie,No Result"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13"/>
    <col customWidth="1" min="5" max="5" width="14.75"/>
  </cols>
  <sheetData>
    <row r="1">
      <c r="A1" s="11" t="s">
        <v>47</v>
      </c>
      <c r="B1" s="11" t="s">
        <v>48</v>
      </c>
      <c r="C1" s="11" t="s">
        <v>49</v>
      </c>
      <c r="D1" s="11" t="s">
        <v>50</v>
      </c>
      <c r="E1" s="11" t="s">
        <v>51</v>
      </c>
    </row>
    <row r="2">
      <c r="A2" s="11" t="s">
        <v>52</v>
      </c>
      <c r="B2" s="11" t="s">
        <v>53</v>
      </c>
      <c r="C2" s="11" t="s">
        <v>54</v>
      </c>
      <c r="D2" s="11" t="s">
        <v>55</v>
      </c>
      <c r="E2" s="11" t="s">
        <v>56</v>
      </c>
    </row>
    <row r="3">
      <c r="A3" s="11" t="s">
        <v>57</v>
      </c>
      <c r="B3" s="11" t="s">
        <v>58</v>
      </c>
      <c r="C3" s="11" t="s">
        <v>54</v>
      </c>
      <c r="D3" s="11" t="s">
        <v>55</v>
      </c>
      <c r="E3" s="11" t="s">
        <v>56</v>
      </c>
    </row>
    <row r="4">
      <c r="A4" s="11" t="s">
        <v>59</v>
      </c>
      <c r="B4" s="11" t="s">
        <v>60</v>
      </c>
      <c r="C4" s="11" t="s">
        <v>54</v>
      </c>
      <c r="D4" s="11" t="s">
        <v>55</v>
      </c>
      <c r="E4" s="11" t="s">
        <v>56</v>
      </c>
    </row>
    <row r="5">
      <c r="A5" s="11" t="s">
        <v>61</v>
      </c>
      <c r="B5" s="11" t="s">
        <v>62</v>
      </c>
      <c r="C5" s="11" t="s">
        <v>54</v>
      </c>
      <c r="D5" s="11" t="s">
        <v>55</v>
      </c>
      <c r="E5" s="11" t="s">
        <v>63</v>
      </c>
    </row>
    <row r="6">
      <c r="A6" s="11" t="s">
        <v>64</v>
      </c>
      <c r="B6" s="11" t="s">
        <v>65</v>
      </c>
      <c r="C6" s="11" t="s">
        <v>66</v>
      </c>
      <c r="D6" s="11" t="s">
        <v>55</v>
      </c>
      <c r="E6" s="11" t="s">
        <v>63</v>
      </c>
    </row>
    <row r="7">
      <c r="A7" s="11" t="s">
        <v>67</v>
      </c>
      <c r="B7" s="11" t="s">
        <v>68</v>
      </c>
      <c r="C7" s="11" t="s">
        <v>54</v>
      </c>
      <c r="D7" s="11" t="s">
        <v>55</v>
      </c>
      <c r="E7" s="11" t="s">
        <v>56</v>
      </c>
    </row>
    <row r="8">
      <c r="A8" s="11" t="s">
        <v>69</v>
      </c>
      <c r="B8" s="11" t="s">
        <v>70</v>
      </c>
      <c r="C8" s="11" t="s">
        <v>71</v>
      </c>
      <c r="D8" s="11" t="s">
        <v>55</v>
      </c>
      <c r="E8" s="11" t="s">
        <v>56</v>
      </c>
    </row>
    <row r="9">
      <c r="A9" s="11" t="s">
        <v>72</v>
      </c>
      <c r="B9" s="11" t="s">
        <v>73</v>
      </c>
      <c r="C9" s="11" t="s">
        <v>66</v>
      </c>
      <c r="D9" s="11" t="s">
        <v>55</v>
      </c>
      <c r="E9" s="11" t="s">
        <v>56</v>
      </c>
    </row>
    <row r="10">
      <c r="A10" s="11" t="s">
        <v>74</v>
      </c>
      <c r="B10" s="11" t="s">
        <v>75</v>
      </c>
      <c r="C10" s="11" t="s">
        <v>54</v>
      </c>
      <c r="D10" s="11" t="s">
        <v>55</v>
      </c>
      <c r="E10" s="11" t="s">
        <v>56</v>
      </c>
    </row>
    <row r="11">
      <c r="A11" s="11" t="s">
        <v>76</v>
      </c>
      <c r="B11" s="11" t="s">
        <v>77</v>
      </c>
      <c r="C11" s="11" t="s">
        <v>71</v>
      </c>
      <c r="D11" s="11" t="s">
        <v>55</v>
      </c>
      <c r="E11" s="11" t="s">
        <v>23</v>
      </c>
    </row>
    <row r="12">
      <c r="A12" s="11" t="s">
        <v>78</v>
      </c>
      <c r="B12" s="11" t="s">
        <v>79</v>
      </c>
      <c r="C12" s="11" t="s">
        <v>66</v>
      </c>
      <c r="D12" s="11" t="s">
        <v>55</v>
      </c>
      <c r="E12" s="11" t="s">
        <v>56</v>
      </c>
    </row>
    <row r="13">
      <c r="A13" s="11" t="s">
        <v>80</v>
      </c>
      <c r="B13" s="11" t="s">
        <v>81</v>
      </c>
      <c r="C13" s="11" t="s">
        <v>54</v>
      </c>
      <c r="D13" s="11" t="s">
        <v>55</v>
      </c>
      <c r="E13" s="11" t="s">
        <v>56</v>
      </c>
    </row>
    <row r="14">
      <c r="A14" s="11" t="s">
        <v>82</v>
      </c>
      <c r="B14" s="11" t="s">
        <v>83</v>
      </c>
      <c r="C14" s="11" t="s">
        <v>54</v>
      </c>
      <c r="D14" s="11" t="s">
        <v>55</v>
      </c>
      <c r="E14" s="11" t="s">
        <v>63</v>
      </c>
    </row>
    <row r="15">
      <c r="A15" s="11" t="s">
        <v>84</v>
      </c>
      <c r="B15" s="11" t="s">
        <v>85</v>
      </c>
      <c r="C15" s="11" t="s">
        <v>66</v>
      </c>
      <c r="D15" s="11" t="s">
        <v>55</v>
      </c>
      <c r="E15" s="11" t="s">
        <v>56</v>
      </c>
    </row>
    <row r="16">
      <c r="A16" s="11" t="s">
        <v>86</v>
      </c>
      <c r="B16" s="11" t="s">
        <v>87</v>
      </c>
      <c r="C16" s="11" t="s">
        <v>66</v>
      </c>
      <c r="D16" s="11" t="s">
        <v>55</v>
      </c>
      <c r="E16" s="11" t="s">
        <v>56</v>
      </c>
    </row>
    <row r="17">
      <c r="A17" s="11" t="s">
        <v>88</v>
      </c>
      <c r="B17" s="11" t="s">
        <v>89</v>
      </c>
      <c r="C17" s="11" t="s">
        <v>90</v>
      </c>
      <c r="D17" s="11" t="s">
        <v>55</v>
      </c>
      <c r="E17" s="11" t="s">
        <v>23</v>
      </c>
    </row>
    <row r="18">
      <c r="A18" s="11" t="s">
        <v>91</v>
      </c>
      <c r="B18" s="11" t="s">
        <v>92</v>
      </c>
      <c r="C18" s="11" t="s">
        <v>90</v>
      </c>
      <c r="D18" s="11" t="s">
        <v>55</v>
      </c>
      <c r="E18" s="11" t="s">
        <v>23</v>
      </c>
    </row>
    <row r="19">
      <c r="A19" s="11" t="s">
        <v>93</v>
      </c>
      <c r="B19" s="11" t="s">
        <v>94</v>
      </c>
      <c r="C19" s="11" t="s">
        <v>54</v>
      </c>
      <c r="D19" s="11" t="s">
        <v>55</v>
      </c>
      <c r="E19" s="11" t="s">
        <v>63</v>
      </c>
    </row>
    <row r="20">
      <c r="A20" s="11" t="s">
        <v>95</v>
      </c>
      <c r="B20" s="11" t="s">
        <v>96</v>
      </c>
      <c r="C20" s="11" t="s">
        <v>54</v>
      </c>
      <c r="D20" s="11" t="s">
        <v>55</v>
      </c>
      <c r="E20" s="11" t="s">
        <v>56</v>
      </c>
    </row>
    <row r="21">
      <c r="A21" s="11" t="s">
        <v>97</v>
      </c>
      <c r="B21" s="11" t="s">
        <v>98</v>
      </c>
      <c r="C21" s="11" t="s">
        <v>54</v>
      </c>
      <c r="D21" s="11" t="s">
        <v>55</v>
      </c>
      <c r="E21" s="11" t="s">
        <v>56</v>
      </c>
    </row>
    <row r="22">
      <c r="A22" s="11" t="s">
        <v>99</v>
      </c>
      <c r="B22" s="11" t="s">
        <v>100</v>
      </c>
      <c r="C22" s="11" t="s">
        <v>90</v>
      </c>
      <c r="D22" s="11" t="s">
        <v>55</v>
      </c>
      <c r="E22" s="11" t="s">
        <v>23</v>
      </c>
    </row>
    <row r="23">
      <c r="A23" s="11" t="s">
        <v>101</v>
      </c>
      <c r="B23" s="11" t="s">
        <v>102</v>
      </c>
      <c r="C23" s="11" t="s">
        <v>66</v>
      </c>
      <c r="D23" s="11" t="s">
        <v>55</v>
      </c>
      <c r="E23" s="11" t="s">
        <v>56</v>
      </c>
    </row>
    <row r="24">
      <c r="A24" s="11" t="s">
        <v>103</v>
      </c>
      <c r="B24" s="11" t="s">
        <v>104</v>
      </c>
      <c r="C24" s="11" t="s">
        <v>54</v>
      </c>
      <c r="D24" s="11" t="s">
        <v>55</v>
      </c>
      <c r="E24" s="11" t="s">
        <v>63</v>
      </c>
    </row>
    <row r="25">
      <c r="A25" s="11" t="s">
        <v>105</v>
      </c>
      <c r="B25" s="11" t="s">
        <v>106</v>
      </c>
      <c r="C25" s="11" t="s">
        <v>54</v>
      </c>
      <c r="D25" s="11" t="s">
        <v>55</v>
      </c>
      <c r="E25" s="11" t="s">
        <v>63</v>
      </c>
    </row>
    <row r="26">
      <c r="A26" s="11" t="s">
        <v>107</v>
      </c>
      <c r="B26" s="11" t="s">
        <v>108</v>
      </c>
      <c r="C26" s="11" t="s">
        <v>66</v>
      </c>
      <c r="D26" s="11" t="s">
        <v>55</v>
      </c>
      <c r="E26" s="11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47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</row>
    <row r="2">
      <c r="A2" s="5">
        <v>1.8418557E7</v>
      </c>
      <c r="B2" s="11" t="s">
        <v>52</v>
      </c>
      <c r="C2" s="11">
        <v>53.0</v>
      </c>
      <c r="D2" s="11">
        <v>41.0</v>
      </c>
      <c r="E2" s="11">
        <v>9.0</v>
      </c>
      <c r="F2" s="11">
        <v>0.0</v>
      </c>
      <c r="G2" s="11" t="s">
        <v>116</v>
      </c>
      <c r="H2" s="11" t="s">
        <v>117</v>
      </c>
    </row>
    <row r="3">
      <c r="A3" s="5">
        <v>1.8418557E7</v>
      </c>
      <c r="B3" s="11" t="s">
        <v>57</v>
      </c>
      <c r="C3" s="11">
        <v>3.0</v>
      </c>
      <c r="D3" s="11">
        <v>9.0</v>
      </c>
      <c r="E3" s="11">
        <v>0.0</v>
      </c>
      <c r="F3" s="11">
        <v>0.0</v>
      </c>
      <c r="G3" s="11" t="s">
        <v>116</v>
      </c>
      <c r="H3" s="11" t="s">
        <v>117</v>
      </c>
    </row>
    <row r="4">
      <c r="A4" s="5">
        <v>1.8418557E7</v>
      </c>
      <c r="B4" s="11" t="s">
        <v>74</v>
      </c>
      <c r="C4" s="11">
        <v>5.0</v>
      </c>
      <c r="D4" s="11">
        <v>12.0</v>
      </c>
      <c r="E4" s="11">
        <v>1.0</v>
      </c>
      <c r="F4" s="11">
        <v>0.0</v>
      </c>
      <c r="G4" s="11" t="s">
        <v>116</v>
      </c>
      <c r="H4" s="11" t="s">
        <v>117</v>
      </c>
    </row>
    <row r="5">
      <c r="A5" s="5">
        <v>1.8418557E7</v>
      </c>
      <c r="B5" s="11" t="s">
        <v>69</v>
      </c>
      <c r="C5" s="11">
        <v>4.0</v>
      </c>
      <c r="D5" s="11">
        <v>8.0</v>
      </c>
      <c r="E5" s="11">
        <v>1.0</v>
      </c>
      <c r="F5" s="11">
        <v>0.0</v>
      </c>
      <c r="G5" s="11" t="s">
        <v>116</v>
      </c>
      <c r="H5" s="11" t="s">
        <v>118</v>
      </c>
    </row>
    <row r="6">
      <c r="A6" s="5">
        <v>1.8418557E7</v>
      </c>
      <c r="B6" s="11" t="s">
        <v>67</v>
      </c>
      <c r="C6" s="11">
        <v>13.0</v>
      </c>
      <c r="D6" s="11">
        <v>13.0</v>
      </c>
      <c r="E6" s="11">
        <v>3.0</v>
      </c>
      <c r="F6" s="11">
        <v>0.0</v>
      </c>
      <c r="G6" s="11" t="s">
        <v>116</v>
      </c>
      <c r="H6" s="11" t="s">
        <v>117</v>
      </c>
    </row>
    <row r="7">
      <c r="A7" s="5">
        <v>1.8418557E7</v>
      </c>
      <c r="B7" s="11" t="s">
        <v>61</v>
      </c>
      <c r="C7" s="11">
        <v>1.0</v>
      </c>
      <c r="D7" s="11">
        <v>6.0</v>
      </c>
      <c r="E7" s="11">
        <v>0.0</v>
      </c>
      <c r="F7" s="11">
        <v>0.0</v>
      </c>
      <c r="G7" s="11" t="s">
        <v>116</v>
      </c>
      <c r="H7" s="11" t="s">
        <v>117</v>
      </c>
    </row>
    <row r="8">
      <c r="A8" s="5">
        <v>1.8418557E7</v>
      </c>
      <c r="B8" s="11" t="s">
        <v>59</v>
      </c>
      <c r="C8" s="11">
        <v>13.0</v>
      </c>
      <c r="D8" s="11">
        <v>16.0</v>
      </c>
      <c r="E8" s="11">
        <v>2.0</v>
      </c>
      <c r="F8" s="11">
        <v>0.0</v>
      </c>
      <c r="G8" s="11" t="s">
        <v>119</v>
      </c>
      <c r="H8" s="11" t="s">
        <v>120</v>
      </c>
    </row>
    <row r="9">
      <c r="A9" s="5">
        <v>1.8418557E7</v>
      </c>
      <c r="B9" s="11" t="s">
        <v>76</v>
      </c>
      <c r="C9" s="11">
        <v>0.0</v>
      </c>
      <c r="D9" s="11">
        <v>1.0</v>
      </c>
      <c r="E9" s="11">
        <v>0.0</v>
      </c>
      <c r="F9" s="11">
        <v>0.0</v>
      </c>
      <c r="G9" s="11" t="s">
        <v>116</v>
      </c>
      <c r="H9" s="11" t="s">
        <v>117</v>
      </c>
    </row>
    <row r="10">
      <c r="A10" s="5">
        <v>1.8418557E7</v>
      </c>
      <c r="B10" s="11" t="s">
        <v>72</v>
      </c>
      <c r="C10" s="11">
        <v>1.0</v>
      </c>
      <c r="D10" s="11">
        <v>6.0</v>
      </c>
      <c r="E10" s="11">
        <v>0.0</v>
      </c>
      <c r="F10" s="11">
        <v>0.0</v>
      </c>
      <c r="G10" s="11" t="s">
        <v>116</v>
      </c>
      <c r="H10" s="11" t="s">
        <v>121</v>
      </c>
    </row>
    <row r="11">
      <c r="A11" s="5">
        <v>1.8418557E7</v>
      </c>
      <c r="B11" s="11" t="s">
        <v>78</v>
      </c>
      <c r="C11" s="11">
        <v>0.0</v>
      </c>
      <c r="D11" s="11">
        <v>1.0</v>
      </c>
      <c r="E11" s="11">
        <v>0.0</v>
      </c>
      <c r="F11" s="11">
        <v>0.0</v>
      </c>
      <c r="G11" s="11" t="s">
        <v>116</v>
      </c>
      <c r="H11" s="11" t="s">
        <v>121</v>
      </c>
    </row>
    <row r="12">
      <c r="A12" s="5">
        <v>1.8418557E7</v>
      </c>
      <c r="B12" s="11" t="s">
        <v>64</v>
      </c>
      <c r="C12" s="11">
        <v>4.0</v>
      </c>
      <c r="D12" s="11">
        <v>6.0</v>
      </c>
      <c r="E12" s="11">
        <v>1.0</v>
      </c>
      <c r="F12" s="11">
        <v>0.0</v>
      </c>
      <c r="G12" s="11" t="s">
        <v>116</v>
      </c>
      <c r="H12" s="11" t="s">
        <v>118</v>
      </c>
    </row>
    <row r="13">
      <c r="A13" s="5">
        <v>1.8642464E7</v>
      </c>
      <c r="B13" s="11" t="s">
        <v>74</v>
      </c>
      <c r="C13" s="11">
        <v>48.0</v>
      </c>
      <c r="D13" s="11">
        <v>38.0</v>
      </c>
      <c r="E13" s="11">
        <v>8.0</v>
      </c>
      <c r="F13" s="11">
        <v>1.0</v>
      </c>
      <c r="G13" s="11" t="s">
        <v>116</v>
      </c>
      <c r="H13" s="11" t="s">
        <v>122</v>
      </c>
    </row>
    <row r="14">
      <c r="A14" s="5">
        <v>1.8642464E7</v>
      </c>
      <c r="B14" s="11" t="s">
        <v>67</v>
      </c>
      <c r="C14" s="11">
        <v>26.0</v>
      </c>
      <c r="D14" s="11">
        <v>38.0</v>
      </c>
      <c r="E14" s="11">
        <v>4.0</v>
      </c>
      <c r="F14" s="11">
        <v>0.0</v>
      </c>
      <c r="G14" s="11" t="s">
        <v>116</v>
      </c>
      <c r="H14" s="11" t="s">
        <v>118</v>
      </c>
    </row>
    <row r="15">
      <c r="A15" s="5">
        <v>1.8642464E7</v>
      </c>
      <c r="B15" s="11" t="s">
        <v>52</v>
      </c>
      <c r="C15" s="11">
        <v>35.0</v>
      </c>
      <c r="D15" s="11">
        <v>29.0</v>
      </c>
      <c r="E15" s="11">
        <v>4.0</v>
      </c>
      <c r="F15" s="11">
        <v>0.0</v>
      </c>
      <c r="G15" s="11" t="s">
        <v>116</v>
      </c>
      <c r="H15" s="11" t="s">
        <v>117</v>
      </c>
    </row>
    <row r="16">
      <c r="A16" s="5">
        <v>1.8642464E7</v>
      </c>
      <c r="B16" s="11" t="s">
        <v>61</v>
      </c>
      <c r="C16" s="11">
        <v>7.0</v>
      </c>
      <c r="D16" s="11">
        <v>10.0</v>
      </c>
      <c r="E16" s="11">
        <v>1.0</v>
      </c>
      <c r="F16" s="11">
        <v>0.0</v>
      </c>
      <c r="G16" s="11" t="s">
        <v>116</v>
      </c>
      <c r="H16" s="11" t="s">
        <v>122</v>
      </c>
    </row>
    <row r="17">
      <c r="A17" s="5">
        <v>1.8642464E7</v>
      </c>
      <c r="B17" s="11" t="s">
        <v>59</v>
      </c>
      <c r="C17" s="11">
        <v>24.0</v>
      </c>
      <c r="D17" s="11">
        <v>27.0</v>
      </c>
      <c r="E17" s="11">
        <v>5.0</v>
      </c>
      <c r="F17" s="11">
        <v>0.0</v>
      </c>
      <c r="G17" s="11" t="s">
        <v>116</v>
      </c>
      <c r="H17" s="11" t="s">
        <v>117</v>
      </c>
    </row>
    <row r="18">
      <c r="A18" s="5">
        <v>1.8642464E7</v>
      </c>
      <c r="B18" s="11" t="s">
        <v>72</v>
      </c>
      <c r="C18" s="11">
        <v>16.0</v>
      </c>
      <c r="D18" s="11">
        <v>18.0</v>
      </c>
      <c r="E18" s="11">
        <v>2.0</v>
      </c>
      <c r="F18" s="11">
        <v>0.0</v>
      </c>
      <c r="G18" s="11" t="s">
        <v>116</v>
      </c>
      <c r="H18" s="11" t="s">
        <v>118</v>
      </c>
    </row>
    <row r="19">
      <c r="A19" s="5">
        <v>1.8642464E7</v>
      </c>
      <c r="B19" s="11" t="s">
        <v>80</v>
      </c>
      <c r="C19" s="11">
        <v>1.0</v>
      </c>
      <c r="D19" s="11">
        <v>5.0</v>
      </c>
      <c r="E19" s="11">
        <v>0.0</v>
      </c>
      <c r="F19" s="11">
        <v>0.0</v>
      </c>
      <c r="G19" s="11" t="s">
        <v>116</v>
      </c>
      <c r="H19" s="11" t="s">
        <v>121</v>
      </c>
    </row>
    <row r="20">
      <c r="A20" s="5">
        <v>1.8642464E7</v>
      </c>
      <c r="B20" s="11" t="s">
        <v>78</v>
      </c>
      <c r="C20" s="11">
        <v>0.0</v>
      </c>
      <c r="D20" s="11">
        <v>1.0</v>
      </c>
      <c r="E20" s="11">
        <v>0.0</v>
      </c>
      <c r="F20" s="11">
        <v>0.0</v>
      </c>
      <c r="G20" s="11" t="s">
        <v>116</v>
      </c>
      <c r="H20" s="11" t="s">
        <v>117</v>
      </c>
    </row>
    <row r="21">
      <c r="A21" s="5">
        <v>1.8642464E7</v>
      </c>
      <c r="B21" s="11" t="s">
        <v>82</v>
      </c>
      <c r="C21" s="11">
        <v>25.0</v>
      </c>
      <c r="D21" s="11">
        <v>12.0</v>
      </c>
      <c r="E21" s="11">
        <v>5.0</v>
      </c>
      <c r="F21" s="11">
        <v>0.0</v>
      </c>
      <c r="G21" s="11" t="s">
        <v>116</v>
      </c>
      <c r="H21" s="11" t="s">
        <v>118</v>
      </c>
    </row>
    <row r="22">
      <c r="A22" s="5">
        <v>1.8642464E7</v>
      </c>
      <c r="B22" s="11" t="s">
        <v>84</v>
      </c>
      <c r="C22" s="11">
        <v>1.0</v>
      </c>
      <c r="D22" s="11">
        <v>4.0</v>
      </c>
      <c r="E22" s="11">
        <v>0.0</v>
      </c>
      <c r="F22" s="11">
        <v>0.0</v>
      </c>
      <c r="G22" s="11" t="s">
        <v>119</v>
      </c>
      <c r="H22" s="11" t="s">
        <v>120</v>
      </c>
    </row>
    <row r="23">
      <c r="A23" s="5">
        <v>1.8642464E7</v>
      </c>
      <c r="B23" s="11" t="s">
        <v>86</v>
      </c>
      <c r="C23" s="11">
        <v>0.0</v>
      </c>
      <c r="D23" s="11">
        <v>1.0</v>
      </c>
      <c r="E23" s="11">
        <v>0.0</v>
      </c>
      <c r="F23" s="11">
        <v>0.0</v>
      </c>
      <c r="G23" s="11" t="s">
        <v>116</v>
      </c>
      <c r="H23" s="11" t="s">
        <v>118</v>
      </c>
    </row>
    <row r="24">
      <c r="A24" s="11">
        <v>1.901901E7</v>
      </c>
      <c r="B24" s="11" t="s">
        <v>61</v>
      </c>
      <c r="C24" s="11">
        <v>13.0</v>
      </c>
      <c r="D24" s="11">
        <v>22.0</v>
      </c>
      <c r="E24" s="11">
        <v>1.0</v>
      </c>
      <c r="F24" s="11">
        <v>0.0</v>
      </c>
      <c r="G24" s="11" t="s">
        <v>116</v>
      </c>
      <c r="H24" s="11" t="s">
        <v>122</v>
      </c>
    </row>
    <row r="25">
      <c r="A25" s="11">
        <v>1.901901E7</v>
      </c>
      <c r="B25" s="11" t="s">
        <v>74</v>
      </c>
      <c r="C25" s="11">
        <v>0.0</v>
      </c>
      <c r="D25" s="11">
        <v>1.0</v>
      </c>
      <c r="E25" s="11">
        <v>0.0</v>
      </c>
      <c r="F25" s="11">
        <v>0.0</v>
      </c>
      <c r="G25" s="11" t="s">
        <v>116</v>
      </c>
      <c r="H25" s="11" t="s">
        <v>117</v>
      </c>
    </row>
    <row r="26">
      <c r="A26" s="11">
        <v>1.901901E7</v>
      </c>
      <c r="B26" s="11" t="s">
        <v>67</v>
      </c>
      <c r="C26" s="11">
        <v>0.0</v>
      </c>
      <c r="D26" s="11">
        <v>11.0</v>
      </c>
      <c r="E26" s="11">
        <v>0.0</v>
      </c>
      <c r="F26" s="11">
        <v>0.0</v>
      </c>
      <c r="G26" s="11" t="s">
        <v>116</v>
      </c>
      <c r="H26" s="11" t="s">
        <v>117</v>
      </c>
    </row>
    <row r="27">
      <c r="A27" s="11">
        <v>1.901901E7</v>
      </c>
      <c r="B27" s="11" t="s">
        <v>88</v>
      </c>
      <c r="C27" s="11">
        <v>19.0</v>
      </c>
      <c r="D27" s="11">
        <v>27.0</v>
      </c>
      <c r="E27" s="11">
        <v>2.0</v>
      </c>
      <c r="F27" s="11">
        <v>0.0</v>
      </c>
      <c r="G27" s="11" t="s">
        <v>116</v>
      </c>
      <c r="H27" s="11" t="s">
        <v>121</v>
      </c>
    </row>
    <row r="28">
      <c r="A28" s="11">
        <v>1.901901E7</v>
      </c>
      <c r="B28" s="11" t="s">
        <v>91</v>
      </c>
      <c r="C28" s="11">
        <v>7.0</v>
      </c>
      <c r="D28" s="11">
        <v>9.0</v>
      </c>
      <c r="E28" s="11">
        <v>1.0</v>
      </c>
      <c r="F28" s="11">
        <v>0.0</v>
      </c>
      <c r="G28" s="11" t="s">
        <v>116</v>
      </c>
      <c r="H28" s="11" t="s">
        <v>117</v>
      </c>
    </row>
    <row r="29">
      <c r="A29" s="11">
        <v>1.901901E7</v>
      </c>
      <c r="B29" s="11" t="s">
        <v>69</v>
      </c>
      <c r="C29" s="11">
        <v>10.0</v>
      </c>
      <c r="D29" s="11">
        <v>9.0</v>
      </c>
      <c r="E29" s="11">
        <v>1.0</v>
      </c>
      <c r="F29" s="11">
        <v>0.0</v>
      </c>
      <c r="G29" s="11" t="s">
        <v>116</v>
      </c>
      <c r="H29" s="11" t="s">
        <v>118</v>
      </c>
    </row>
    <row r="30">
      <c r="A30" s="11">
        <v>1.901901E7</v>
      </c>
      <c r="B30" s="11" t="s">
        <v>52</v>
      </c>
      <c r="C30" s="11">
        <v>15.0</v>
      </c>
      <c r="D30" s="11">
        <v>14.0</v>
      </c>
      <c r="E30" s="11">
        <v>1.0</v>
      </c>
      <c r="F30" s="11">
        <v>0.0</v>
      </c>
      <c r="G30" s="11" t="s">
        <v>116</v>
      </c>
      <c r="H30" s="11" t="s">
        <v>122</v>
      </c>
    </row>
    <row r="31">
      <c r="A31" s="11">
        <v>1.901901E7</v>
      </c>
      <c r="B31" s="11" t="s">
        <v>59</v>
      </c>
      <c r="C31" s="11">
        <v>28.0</v>
      </c>
      <c r="D31" s="11">
        <v>33.0</v>
      </c>
      <c r="E31" s="11">
        <v>4.0</v>
      </c>
      <c r="F31" s="11">
        <v>0.0</v>
      </c>
      <c r="G31" s="11" t="s">
        <v>119</v>
      </c>
      <c r="H31" s="11" t="s">
        <v>120</v>
      </c>
    </row>
    <row r="32">
      <c r="A32" s="11">
        <v>1.901901E7</v>
      </c>
      <c r="B32" s="11" t="s">
        <v>93</v>
      </c>
      <c r="C32" s="11">
        <v>7.0</v>
      </c>
      <c r="D32" s="11">
        <v>7.0</v>
      </c>
      <c r="E32" s="11">
        <v>0.0</v>
      </c>
      <c r="F32" s="11">
        <v>1.0</v>
      </c>
      <c r="G32" s="11" t="s">
        <v>116</v>
      </c>
      <c r="H32" s="11" t="s">
        <v>118</v>
      </c>
    </row>
    <row r="33">
      <c r="A33" s="11">
        <v>1.901901E7</v>
      </c>
      <c r="B33" s="11" t="s">
        <v>95</v>
      </c>
      <c r="C33" s="11">
        <v>14.0</v>
      </c>
      <c r="D33" s="11">
        <v>23.0</v>
      </c>
      <c r="E33" s="11">
        <v>1.0</v>
      </c>
      <c r="F33" s="11">
        <v>0.0</v>
      </c>
      <c r="G33" s="11" t="s">
        <v>119</v>
      </c>
      <c r="H33" s="11" t="s">
        <v>120</v>
      </c>
    </row>
    <row r="34">
      <c r="A34" s="5">
        <v>1.9112746E7</v>
      </c>
      <c r="B34" s="11" t="s">
        <v>52</v>
      </c>
      <c r="C34" s="11">
        <v>55.0</v>
      </c>
      <c r="D34" s="11">
        <v>41.0</v>
      </c>
      <c r="E34" s="11">
        <v>8.0</v>
      </c>
      <c r="F34" s="11">
        <v>0.0</v>
      </c>
      <c r="G34" s="11" t="s">
        <v>116</v>
      </c>
      <c r="H34" s="11" t="s">
        <v>118</v>
      </c>
    </row>
    <row r="35">
      <c r="A35" s="5">
        <v>1.9112746E7</v>
      </c>
      <c r="B35" s="11" t="s">
        <v>74</v>
      </c>
      <c r="C35" s="11">
        <v>3.0</v>
      </c>
      <c r="D35" s="11">
        <v>16.0</v>
      </c>
      <c r="E35" s="11">
        <v>0.0</v>
      </c>
      <c r="F35" s="11">
        <v>0.0</v>
      </c>
      <c r="G35" s="11" t="s">
        <v>116</v>
      </c>
      <c r="H35" s="11" t="s">
        <v>118</v>
      </c>
    </row>
    <row r="36">
      <c r="A36" s="5">
        <v>1.9112746E7</v>
      </c>
      <c r="B36" s="11" t="s">
        <v>59</v>
      </c>
      <c r="C36" s="11">
        <v>2.0</v>
      </c>
      <c r="D36" s="11">
        <v>10.0</v>
      </c>
      <c r="E36" s="11">
        <v>0.0</v>
      </c>
      <c r="F36" s="11">
        <v>0.0</v>
      </c>
      <c r="G36" s="11" t="s">
        <v>116</v>
      </c>
      <c r="H36" s="11" t="s">
        <v>117</v>
      </c>
    </row>
    <row r="37">
      <c r="A37" s="5">
        <v>1.9112746E7</v>
      </c>
      <c r="B37" s="11" t="s">
        <v>93</v>
      </c>
      <c r="C37" s="11">
        <v>21.0</v>
      </c>
      <c r="D37" s="11">
        <v>19.0</v>
      </c>
      <c r="E37" s="11">
        <v>3.0</v>
      </c>
      <c r="F37" s="11">
        <v>0.0</v>
      </c>
      <c r="G37" s="11" t="s">
        <v>116</v>
      </c>
      <c r="H37" s="11" t="s">
        <v>122</v>
      </c>
    </row>
    <row r="38">
      <c r="A38" s="5">
        <v>1.9112746E7</v>
      </c>
      <c r="B38" s="11" t="s">
        <v>88</v>
      </c>
      <c r="C38" s="11">
        <v>4.0</v>
      </c>
      <c r="D38" s="11">
        <v>9.0</v>
      </c>
      <c r="E38" s="11">
        <v>0.0</v>
      </c>
      <c r="F38" s="11">
        <v>0.0</v>
      </c>
      <c r="G38" s="11" t="s">
        <v>116</v>
      </c>
      <c r="H38" s="11" t="s">
        <v>117</v>
      </c>
    </row>
    <row r="39">
      <c r="A39" s="5">
        <v>1.9112746E7</v>
      </c>
      <c r="B39" s="11" t="s">
        <v>67</v>
      </c>
      <c r="C39" s="11">
        <v>56.0</v>
      </c>
      <c r="D39" s="11">
        <v>36.0</v>
      </c>
      <c r="E39" s="11">
        <v>8.0</v>
      </c>
      <c r="F39" s="11">
        <v>1.0</v>
      </c>
      <c r="G39" s="11" t="s">
        <v>116</v>
      </c>
      <c r="H39" s="11" t="s">
        <v>117</v>
      </c>
    </row>
    <row r="40">
      <c r="A40" s="5">
        <v>1.9112746E7</v>
      </c>
      <c r="B40" s="11" t="s">
        <v>69</v>
      </c>
      <c r="C40" s="11">
        <v>8.0</v>
      </c>
      <c r="D40" s="11">
        <v>13.0</v>
      </c>
      <c r="E40" s="11">
        <v>0.0</v>
      </c>
      <c r="F40" s="11">
        <v>0.0</v>
      </c>
      <c r="G40" s="11" t="s">
        <v>116</v>
      </c>
      <c r="H40" s="11" t="s">
        <v>121</v>
      </c>
    </row>
    <row r="41">
      <c r="A41" s="5">
        <v>1.9112746E7</v>
      </c>
      <c r="B41" s="11" t="s">
        <v>76</v>
      </c>
      <c r="C41" s="11">
        <v>1.0</v>
      </c>
      <c r="D41" s="11">
        <v>4.0</v>
      </c>
      <c r="E41" s="11">
        <v>0.0</v>
      </c>
      <c r="F41" s="11">
        <v>0.0</v>
      </c>
      <c r="G41" s="11" t="s">
        <v>116</v>
      </c>
      <c r="H41" s="11" t="s">
        <v>118</v>
      </c>
    </row>
    <row r="42">
      <c r="A42" s="5">
        <v>1.9112746E7</v>
      </c>
      <c r="B42" s="11" t="s">
        <v>61</v>
      </c>
      <c r="C42" s="11">
        <v>50.0</v>
      </c>
      <c r="D42" s="11">
        <v>28.0</v>
      </c>
      <c r="E42" s="11">
        <v>2.0</v>
      </c>
      <c r="F42" s="11">
        <v>4.0</v>
      </c>
      <c r="G42" s="11" t="s">
        <v>116</v>
      </c>
      <c r="H42" s="11" t="s">
        <v>121</v>
      </c>
    </row>
    <row r="43">
      <c r="A43" s="5">
        <v>1.9112746E7</v>
      </c>
      <c r="B43" s="11" t="s">
        <v>72</v>
      </c>
      <c r="C43" s="11">
        <v>0.0</v>
      </c>
      <c r="D43" s="11">
        <v>4.0</v>
      </c>
      <c r="E43" s="11">
        <v>0.0</v>
      </c>
      <c r="F43" s="11">
        <v>0.0</v>
      </c>
      <c r="G43" s="11" t="s">
        <v>119</v>
      </c>
      <c r="H43" s="11" t="s">
        <v>120</v>
      </c>
    </row>
    <row r="44">
      <c r="A44" s="5">
        <v>1.9112746E7</v>
      </c>
      <c r="B44" s="11" t="s">
        <v>84</v>
      </c>
      <c r="C44" s="11">
        <v>0.0</v>
      </c>
      <c r="D44" s="11">
        <v>1.0</v>
      </c>
      <c r="E44" s="11">
        <v>0.0</v>
      </c>
      <c r="F44" s="11">
        <v>0.0</v>
      </c>
      <c r="G44" s="11" t="s">
        <v>116</v>
      </c>
      <c r="H44" s="11" t="s">
        <v>118</v>
      </c>
    </row>
    <row r="45">
      <c r="A45" s="5">
        <v>1.9859354E7</v>
      </c>
      <c r="B45" s="11" t="s">
        <v>52</v>
      </c>
      <c r="C45" s="11">
        <v>15.0</v>
      </c>
      <c r="D45" s="11">
        <v>6.0</v>
      </c>
      <c r="E45" s="11">
        <v>2.0</v>
      </c>
      <c r="F45" s="11">
        <v>1.0</v>
      </c>
      <c r="G45" s="11" t="s">
        <v>116</v>
      </c>
      <c r="H45" s="11" t="s">
        <v>117</v>
      </c>
    </row>
    <row r="46">
      <c r="A46" s="5">
        <v>1.9859354E7</v>
      </c>
      <c r="B46" s="11" t="s">
        <v>74</v>
      </c>
      <c r="C46" s="11">
        <v>47.0</v>
      </c>
      <c r="D46" s="11">
        <v>49.0</v>
      </c>
      <c r="E46" s="11">
        <v>5.0</v>
      </c>
      <c r="F46" s="11">
        <v>0.0</v>
      </c>
      <c r="G46" s="11" t="s">
        <v>119</v>
      </c>
      <c r="H46" s="11" t="s">
        <v>120</v>
      </c>
    </row>
    <row r="47">
      <c r="A47" s="5">
        <v>1.9859354E7</v>
      </c>
      <c r="B47" s="11" t="s">
        <v>59</v>
      </c>
      <c r="C47" s="11">
        <v>4.0</v>
      </c>
      <c r="D47" s="11">
        <v>5.0</v>
      </c>
      <c r="E47" s="11">
        <v>1.0</v>
      </c>
      <c r="F47" s="11">
        <v>0.0</v>
      </c>
      <c r="G47" s="11" t="s">
        <v>116</v>
      </c>
      <c r="H47" s="11" t="s">
        <v>118</v>
      </c>
    </row>
    <row r="48">
      <c r="A48" s="5">
        <v>1.9859354E7</v>
      </c>
      <c r="B48" s="11" t="s">
        <v>93</v>
      </c>
      <c r="C48" s="11">
        <v>10.0</v>
      </c>
      <c r="D48" s="11">
        <v>12.0</v>
      </c>
      <c r="E48" s="11">
        <v>0.0</v>
      </c>
      <c r="F48" s="11">
        <v>0.0</v>
      </c>
      <c r="G48" s="11" t="s">
        <v>116</v>
      </c>
      <c r="H48" s="11" t="s">
        <v>118</v>
      </c>
    </row>
    <row r="49">
      <c r="A49" s="5">
        <v>1.9859354E7</v>
      </c>
      <c r="B49" s="11" t="s">
        <v>88</v>
      </c>
      <c r="C49" s="11">
        <v>2.0</v>
      </c>
      <c r="D49" s="11">
        <v>12.0</v>
      </c>
      <c r="E49" s="11">
        <v>0.0</v>
      </c>
      <c r="F49" s="11">
        <v>0.0</v>
      </c>
      <c r="G49" s="11" t="s">
        <v>116</v>
      </c>
      <c r="H49" s="11" t="s">
        <v>118</v>
      </c>
    </row>
    <row r="50">
      <c r="A50" s="5">
        <v>1.9859354E7</v>
      </c>
      <c r="B50" s="11" t="s">
        <v>69</v>
      </c>
      <c r="C50" s="11">
        <v>3.0</v>
      </c>
      <c r="D50" s="11">
        <v>9.0</v>
      </c>
      <c r="E50" s="11">
        <v>0.0</v>
      </c>
      <c r="F50" s="11">
        <v>0.0</v>
      </c>
      <c r="G50" s="11" t="s">
        <v>116</v>
      </c>
      <c r="H50" s="11" t="s">
        <v>123</v>
      </c>
    </row>
    <row r="51">
      <c r="A51" s="5">
        <v>1.9859354E7</v>
      </c>
      <c r="B51" s="11" t="s">
        <v>76</v>
      </c>
      <c r="C51" s="11">
        <v>7.0</v>
      </c>
      <c r="D51" s="11">
        <v>5.0</v>
      </c>
      <c r="E51" s="11">
        <v>1.0</v>
      </c>
      <c r="F51" s="11">
        <v>0.0</v>
      </c>
      <c r="G51" s="11" t="s">
        <v>116</v>
      </c>
      <c r="H51" s="11" t="s">
        <v>118</v>
      </c>
    </row>
    <row r="52">
      <c r="A52" s="5">
        <v>1.9859354E7</v>
      </c>
      <c r="B52" s="11" t="s">
        <v>61</v>
      </c>
      <c r="C52" s="11">
        <v>21.0</v>
      </c>
      <c r="D52" s="11">
        <v>15.0</v>
      </c>
      <c r="E52" s="11">
        <v>1.0</v>
      </c>
      <c r="F52" s="11">
        <v>1.0</v>
      </c>
      <c r="G52" s="11" t="s">
        <v>116</v>
      </c>
      <c r="H52" s="11" t="s">
        <v>123</v>
      </c>
    </row>
    <row r="53">
      <c r="A53" s="5">
        <v>1.9859354E7</v>
      </c>
      <c r="B53" s="11" t="s">
        <v>82</v>
      </c>
      <c r="C53" s="11">
        <v>6.0</v>
      </c>
      <c r="D53" s="11">
        <v>7.0</v>
      </c>
      <c r="E53" s="11">
        <v>0.0</v>
      </c>
      <c r="F53" s="11">
        <v>0.0</v>
      </c>
      <c r="G53" s="11" t="s">
        <v>116</v>
      </c>
      <c r="H53" s="11" t="s">
        <v>123</v>
      </c>
    </row>
    <row r="54">
      <c r="A54" s="5">
        <v>1.9859354E7</v>
      </c>
      <c r="B54" s="11" t="s">
        <v>84</v>
      </c>
      <c r="C54" s="11">
        <v>4.0</v>
      </c>
      <c r="D54" s="11">
        <v>5.0</v>
      </c>
      <c r="E54" s="11">
        <v>0.0</v>
      </c>
      <c r="F54" s="11">
        <v>0.0</v>
      </c>
      <c r="G54" s="11" t="s">
        <v>119</v>
      </c>
      <c r="H54" s="11" t="s">
        <v>120</v>
      </c>
    </row>
    <row r="55">
      <c r="A55" s="5">
        <v>1.3848394E7</v>
      </c>
      <c r="B55" s="11" t="s">
        <v>74</v>
      </c>
      <c r="C55" s="11">
        <v>8.0</v>
      </c>
      <c r="D55" s="11">
        <v>10.0</v>
      </c>
      <c r="E55" s="11">
        <v>1.0</v>
      </c>
      <c r="F55" s="11">
        <v>0.0</v>
      </c>
      <c r="G55" s="11" t="s">
        <v>116</v>
      </c>
      <c r="H55" s="11" t="s">
        <v>118</v>
      </c>
    </row>
    <row r="56">
      <c r="A56" s="5">
        <v>1.3848394E7</v>
      </c>
      <c r="B56" s="11" t="s">
        <v>91</v>
      </c>
      <c r="C56" s="11">
        <v>19.0</v>
      </c>
      <c r="D56" s="11">
        <v>13.0</v>
      </c>
      <c r="E56" s="11">
        <v>1.0</v>
      </c>
      <c r="F56" s="11">
        <v>2.0</v>
      </c>
      <c r="G56" s="11" t="s">
        <v>116</v>
      </c>
      <c r="H56" s="11" t="s">
        <v>118</v>
      </c>
    </row>
    <row r="57">
      <c r="A57" s="5">
        <v>1.3848394E7</v>
      </c>
      <c r="B57" s="11" t="s">
        <v>93</v>
      </c>
      <c r="C57" s="11">
        <v>15.0</v>
      </c>
      <c r="D57" s="11">
        <v>32.0</v>
      </c>
      <c r="E57" s="11">
        <v>1.0</v>
      </c>
      <c r="F57" s="11">
        <v>0.0</v>
      </c>
      <c r="G57" s="11" t="s">
        <v>116</v>
      </c>
      <c r="H57" s="11" t="s">
        <v>117</v>
      </c>
    </row>
    <row r="58">
      <c r="A58" s="5">
        <v>1.3848394E7</v>
      </c>
      <c r="B58" s="11" t="s">
        <v>59</v>
      </c>
      <c r="C58" s="11">
        <v>4.0</v>
      </c>
      <c r="D58" s="11">
        <v>7.0</v>
      </c>
      <c r="E58" s="11">
        <v>0.0</v>
      </c>
      <c r="F58" s="11">
        <v>0.0</v>
      </c>
      <c r="G58" s="11" t="s">
        <v>116</v>
      </c>
      <c r="H58" s="11" t="s">
        <v>117</v>
      </c>
    </row>
    <row r="59">
      <c r="A59" s="5">
        <v>1.3848394E7</v>
      </c>
      <c r="B59" s="11" t="s">
        <v>52</v>
      </c>
      <c r="C59" s="11">
        <v>20.0</v>
      </c>
      <c r="D59" s="11">
        <v>23.0</v>
      </c>
      <c r="E59" s="11">
        <v>0.0</v>
      </c>
      <c r="F59" s="11">
        <v>0.0</v>
      </c>
      <c r="G59" s="11" t="s">
        <v>116</v>
      </c>
      <c r="H59" s="11" t="s">
        <v>121</v>
      </c>
    </row>
    <row r="60">
      <c r="A60" s="5">
        <v>1.3848394E7</v>
      </c>
      <c r="B60" s="11" t="s">
        <v>88</v>
      </c>
      <c r="C60" s="11">
        <v>6.0</v>
      </c>
      <c r="D60" s="11">
        <v>19.0</v>
      </c>
      <c r="E60" s="11">
        <v>9.0</v>
      </c>
      <c r="F60" s="11">
        <v>9.0</v>
      </c>
      <c r="G60" s="11" t="s">
        <v>116</v>
      </c>
      <c r="H60" s="11" t="s">
        <v>118</v>
      </c>
    </row>
    <row r="61">
      <c r="A61" s="5">
        <v>1.3848394E7</v>
      </c>
      <c r="B61" s="11" t="s">
        <v>61</v>
      </c>
      <c r="C61" s="11">
        <v>1.0</v>
      </c>
      <c r="D61" s="11">
        <v>6.0</v>
      </c>
      <c r="E61" s="11">
        <v>0.0</v>
      </c>
      <c r="F61" s="11">
        <v>0.0</v>
      </c>
      <c r="G61" s="11" t="s">
        <v>116</v>
      </c>
      <c r="H61" s="11" t="s">
        <v>118</v>
      </c>
    </row>
    <row r="62">
      <c r="A62" s="5">
        <v>1.3848394E7</v>
      </c>
      <c r="B62" s="11" t="s">
        <v>57</v>
      </c>
      <c r="C62" s="11">
        <v>0.0</v>
      </c>
      <c r="D62" s="11">
        <v>3.0</v>
      </c>
      <c r="E62" s="11">
        <v>0.0</v>
      </c>
      <c r="F62" s="11">
        <v>0.0</v>
      </c>
      <c r="G62" s="11" t="s">
        <v>116</v>
      </c>
      <c r="H62" s="11" t="s">
        <v>122</v>
      </c>
    </row>
    <row r="63">
      <c r="A63" s="5">
        <v>1.3848394E7</v>
      </c>
      <c r="B63" s="11" t="s">
        <v>99</v>
      </c>
      <c r="C63" s="11">
        <v>0.0</v>
      </c>
      <c r="D63" s="11">
        <v>2.0</v>
      </c>
      <c r="E63" s="11">
        <v>0.0</v>
      </c>
      <c r="F63" s="11">
        <v>0.0</v>
      </c>
      <c r="G63" s="11" t="s">
        <v>116</v>
      </c>
      <c r="H63" s="11" t="s">
        <v>118</v>
      </c>
    </row>
    <row r="64">
      <c r="A64" s="5">
        <v>1.3848394E7</v>
      </c>
      <c r="B64" s="11" t="s">
        <v>84</v>
      </c>
      <c r="C64" s="11">
        <v>0.0</v>
      </c>
      <c r="D64" s="11">
        <v>2.0</v>
      </c>
      <c r="E64" s="11">
        <v>0.0</v>
      </c>
      <c r="F64" s="11">
        <v>0.0</v>
      </c>
      <c r="G64" s="11" t="s">
        <v>119</v>
      </c>
      <c r="H64" s="11" t="s">
        <v>120</v>
      </c>
    </row>
    <row r="65">
      <c r="A65" s="5">
        <v>1.3848394E7</v>
      </c>
      <c r="B65" s="11" t="s">
        <v>76</v>
      </c>
      <c r="C65" s="11">
        <v>5.0</v>
      </c>
      <c r="D65" s="11">
        <v>6.0</v>
      </c>
      <c r="E65" s="11">
        <v>0.0</v>
      </c>
      <c r="F65" s="11">
        <v>0.0</v>
      </c>
      <c r="G65" s="11" t="s">
        <v>116</v>
      </c>
      <c r="H65" s="11" t="s">
        <v>118</v>
      </c>
    </row>
    <row r="66">
      <c r="A66" s="5">
        <v>1.9989363E7</v>
      </c>
      <c r="B66" s="11" t="s">
        <v>52</v>
      </c>
      <c r="C66" s="11">
        <v>7.0</v>
      </c>
      <c r="D66" s="11">
        <v>11.0</v>
      </c>
      <c r="E66" s="11">
        <v>0.0</v>
      </c>
      <c r="F66" s="11">
        <v>0.0</v>
      </c>
      <c r="G66" s="11" t="s">
        <v>116</v>
      </c>
      <c r="H66" s="11" t="s">
        <v>117</v>
      </c>
    </row>
    <row r="67">
      <c r="A67" s="5">
        <v>1.9989363E7</v>
      </c>
      <c r="B67" s="11" t="s">
        <v>61</v>
      </c>
      <c r="C67" s="11">
        <v>11.0</v>
      </c>
      <c r="D67" s="11">
        <v>11.0</v>
      </c>
      <c r="E67" s="11">
        <v>2.0</v>
      </c>
      <c r="F67" s="11">
        <v>0.0</v>
      </c>
      <c r="G67" s="11" t="s">
        <v>116</v>
      </c>
      <c r="H67" s="11" t="s">
        <v>117</v>
      </c>
    </row>
    <row r="68">
      <c r="A68" s="5">
        <v>1.9989363E7</v>
      </c>
      <c r="B68" s="11" t="s">
        <v>74</v>
      </c>
      <c r="C68" s="11">
        <v>21.0</v>
      </c>
      <c r="D68" s="11">
        <v>38.0</v>
      </c>
      <c r="E68" s="11">
        <v>1.0</v>
      </c>
      <c r="F68" s="11">
        <v>0.0</v>
      </c>
      <c r="G68" s="11" t="s">
        <v>119</v>
      </c>
      <c r="H68" s="11" t="s">
        <v>120</v>
      </c>
    </row>
    <row r="69">
      <c r="A69" s="5">
        <v>1.9989363E7</v>
      </c>
      <c r="B69" s="11" t="s">
        <v>57</v>
      </c>
      <c r="C69" s="11">
        <v>1.0</v>
      </c>
      <c r="D69" s="11">
        <v>8.0</v>
      </c>
      <c r="E69" s="11">
        <v>0.0</v>
      </c>
      <c r="F69" s="11">
        <v>0.0</v>
      </c>
      <c r="G69" s="11" t="s">
        <v>116</v>
      </c>
      <c r="H69" s="11" t="s">
        <v>118</v>
      </c>
    </row>
    <row r="70">
      <c r="A70" s="5">
        <v>1.9989363E7</v>
      </c>
      <c r="B70" s="11" t="s">
        <v>59</v>
      </c>
      <c r="C70" s="11">
        <v>1.0</v>
      </c>
      <c r="D70" s="11">
        <v>5.0</v>
      </c>
      <c r="E70" s="11">
        <v>0.0</v>
      </c>
      <c r="F70" s="11">
        <v>0.0</v>
      </c>
      <c r="G70" s="11" t="s">
        <v>116</v>
      </c>
      <c r="H70" s="11" t="s">
        <v>118</v>
      </c>
    </row>
    <row r="71">
      <c r="A71" s="5">
        <v>1.9989363E7</v>
      </c>
      <c r="B71" s="11" t="s">
        <v>69</v>
      </c>
      <c r="C71" s="11">
        <v>0.0</v>
      </c>
      <c r="D71" s="11">
        <v>5.0</v>
      </c>
      <c r="E71" s="11">
        <v>0.0</v>
      </c>
      <c r="F71" s="11">
        <v>0.0</v>
      </c>
      <c r="G71" s="11" t="s">
        <v>116</v>
      </c>
      <c r="H71" s="11" t="s">
        <v>118</v>
      </c>
    </row>
    <row r="72">
      <c r="A72" s="5">
        <v>1.9989363E7</v>
      </c>
      <c r="B72" s="11" t="s">
        <v>99</v>
      </c>
      <c r="C72" s="11">
        <v>0.0</v>
      </c>
      <c r="D72" s="11">
        <v>4.0</v>
      </c>
      <c r="E72" s="11">
        <v>0.0</v>
      </c>
      <c r="F72" s="11">
        <v>0.0</v>
      </c>
      <c r="G72" s="11" t="s">
        <v>116</v>
      </c>
      <c r="H72" s="11" t="s">
        <v>118</v>
      </c>
    </row>
    <row r="73">
      <c r="A73" s="5">
        <v>1.9989363E7</v>
      </c>
      <c r="B73" s="11" t="s">
        <v>101</v>
      </c>
      <c r="C73" s="11">
        <v>2.0</v>
      </c>
      <c r="D73" s="11">
        <v>12.0</v>
      </c>
      <c r="E73" s="11">
        <v>0.0</v>
      </c>
      <c r="F73" s="11">
        <v>0.0</v>
      </c>
      <c r="G73" s="11" t="s">
        <v>116</v>
      </c>
      <c r="H73" s="11" t="s">
        <v>118</v>
      </c>
    </row>
    <row r="74">
      <c r="A74" s="5">
        <v>1.9989363E7</v>
      </c>
      <c r="B74" s="11" t="s">
        <v>72</v>
      </c>
      <c r="C74" s="11">
        <v>1.0</v>
      </c>
      <c r="D74" s="11">
        <v>7.0</v>
      </c>
      <c r="E74" s="11">
        <v>0.0</v>
      </c>
      <c r="F74" s="11">
        <v>0.0</v>
      </c>
      <c r="G74" s="11" t="s">
        <v>116</v>
      </c>
      <c r="H74" s="11" t="s">
        <v>118</v>
      </c>
    </row>
    <row r="75">
      <c r="A75" s="5">
        <v>1.9989363E7</v>
      </c>
      <c r="B75" s="11" t="s">
        <v>84</v>
      </c>
      <c r="C75" s="11">
        <v>1.0</v>
      </c>
      <c r="D75" s="11">
        <v>3.0</v>
      </c>
      <c r="E75" s="11">
        <v>0.0</v>
      </c>
      <c r="F75" s="11">
        <v>0.0</v>
      </c>
      <c r="G75" s="11" t="s">
        <v>116</v>
      </c>
      <c r="H75" s="11" t="s">
        <v>117</v>
      </c>
    </row>
    <row r="76">
      <c r="A76" s="5">
        <v>1.9989363E7</v>
      </c>
      <c r="B76" s="11" t="s">
        <v>86</v>
      </c>
      <c r="C76" s="11">
        <v>0.0</v>
      </c>
      <c r="D76" s="11">
        <v>1.0</v>
      </c>
      <c r="E76" s="11">
        <v>0.0</v>
      </c>
      <c r="F76" s="11">
        <v>0.0</v>
      </c>
      <c r="G76" s="11" t="s">
        <v>116</v>
      </c>
      <c r="H76" s="11" t="s">
        <v>122</v>
      </c>
    </row>
    <row r="77">
      <c r="A77" s="5">
        <v>2.0648752E7</v>
      </c>
      <c r="B77" s="11" t="s">
        <v>103</v>
      </c>
      <c r="C77" s="11">
        <v>16.0</v>
      </c>
      <c r="D77" s="11">
        <v>13.0</v>
      </c>
      <c r="E77" s="11">
        <v>4.0</v>
      </c>
      <c r="F77" s="11">
        <v>0.0</v>
      </c>
      <c r="G77" s="11" t="s">
        <v>116</v>
      </c>
      <c r="H77" s="11" t="s">
        <v>122</v>
      </c>
    </row>
    <row r="78">
      <c r="A78" s="5">
        <v>2.0648752E7</v>
      </c>
      <c r="B78" s="11" t="s">
        <v>74</v>
      </c>
      <c r="C78" s="11">
        <v>7.0</v>
      </c>
      <c r="D78" s="11">
        <v>11.0</v>
      </c>
      <c r="E78" s="11">
        <v>0.0</v>
      </c>
      <c r="F78" s="11">
        <v>0.0</v>
      </c>
      <c r="G78" s="11" t="s">
        <v>116</v>
      </c>
      <c r="H78" s="11" t="s">
        <v>118</v>
      </c>
    </row>
    <row r="79">
      <c r="A79" s="5">
        <v>2.0648752E7</v>
      </c>
      <c r="B79" s="11" t="s">
        <v>52</v>
      </c>
      <c r="C79" s="11">
        <v>39.0</v>
      </c>
      <c r="D79" s="11">
        <v>38.0</v>
      </c>
      <c r="E79" s="11">
        <v>2.0</v>
      </c>
      <c r="F79" s="11">
        <v>1.0</v>
      </c>
      <c r="G79" s="11" t="s">
        <v>116</v>
      </c>
      <c r="H79" s="11" t="s">
        <v>117</v>
      </c>
    </row>
    <row r="80">
      <c r="A80" s="5">
        <v>2.0648752E7</v>
      </c>
      <c r="B80" s="11" t="s">
        <v>67</v>
      </c>
      <c r="C80" s="11">
        <v>6.0</v>
      </c>
      <c r="D80" s="11">
        <v>5.0</v>
      </c>
      <c r="E80" s="11">
        <v>1.0</v>
      </c>
      <c r="F80" s="11">
        <v>0.0</v>
      </c>
      <c r="G80" s="11" t="s">
        <v>116</v>
      </c>
      <c r="H80" s="11" t="s">
        <v>118</v>
      </c>
    </row>
    <row r="81">
      <c r="A81" s="5">
        <v>2.0648752E7</v>
      </c>
      <c r="B81" s="11" t="s">
        <v>82</v>
      </c>
      <c r="C81" s="11">
        <v>10.0</v>
      </c>
      <c r="D81" s="11">
        <v>17.0</v>
      </c>
      <c r="E81" s="11">
        <v>1.0</v>
      </c>
      <c r="F81" s="11">
        <v>0.0</v>
      </c>
      <c r="G81" s="11" t="s">
        <v>116</v>
      </c>
      <c r="H81" s="11" t="s">
        <v>118</v>
      </c>
    </row>
    <row r="82">
      <c r="A82" s="5">
        <v>2.0648752E7</v>
      </c>
      <c r="B82" s="11" t="s">
        <v>105</v>
      </c>
      <c r="C82" s="11">
        <v>1.0</v>
      </c>
      <c r="D82" s="11">
        <v>7.0</v>
      </c>
      <c r="E82" s="11">
        <v>0.0</v>
      </c>
      <c r="F82" s="11">
        <v>0.0</v>
      </c>
      <c r="G82" s="11" t="s">
        <v>116</v>
      </c>
      <c r="H82" s="11" t="s">
        <v>122</v>
      </c>
    </row>
    <row r="83">
      <c r="A83" s="5">
        <v>2.0648752E7</v>
      </c>
      <c r="B83" s="11" t="s">
        <v>69</v>
      </c>
      <c r="C83" s="11">
        <v>30.0</v>
      </c>
      <c r="D83" s="11">
        <v>30.0</v>
      </c>
      <c r="E83" s="11">
        <v>2.0</v>
      </c>
      <c r="F83" s="11">
        <v>0.0</v>
      </c>
      <c r="G83" s="11" t="s">
        <v>119</v>
      </c>
      <c r="H83" s="11" t="s">
        <v>120</v>
      </c>
    </row>
    <row r="84">
      <c r="A84" s="5">
        <v>2.0648752E7</v>
      </c>
      <c r="B84" s="11" t="s">
        <v>61</v>
      </c>
      <c r="C84" s="11">
        <v>26.0</v>
      </c>
      <c r="D84" s="11">
        <v>17.0</v>
      </c>
      <c r="E84" s="11">
        <v>3.0</v>
      </c>
      <c r="F84" s="11">
        <v>1.0</v>
      </c>
      <c r="G84" s="11" t="s">
        <v>119</v>
      </c>
      <c r="H84" s="11" t="s">
        <v>120</v>
      </c>
    </row>
    <row r="85">
      <c r="A85" s="5">
        <v>2.0156519E7</v>
      </c>
      <c r="B85" s="11" t="s">
        <v>52</v>
      </c>
      <c r="C85" s="11">
        <v>10.0</v>
      </c>
      <c r="D85" s="11">
        <v>9.0</v>
      </c>
      <c r="E85" s="11">
        <v>2.0</v>
      </c>
      <c r="F85" s="11">
        <v>0.0</v>
      </c>
      <c r="G85" s="11" t="s">
        <v>116</v>
      </c>
      <c r="H85" s="11" t="s">
        <v>117</v>
      </c>
    </row>
    <row r="86">
      <c r="A86" s="5">
        <v>2.0156519E7</v>
      </c>
      <c r="B86" s="11" t="s">
        <v>61</v>
      </c>
      <c r="C86" s="11">
        <v>33.0</v>
      </c>
      <c r="D86" s="11">
        <v>32.0</v>
      </c>
      <c r="E86" s="11">
        <v>5.0</v>
      </c>
      <c r="F86" s="11">
        <v>1.0</v>
      </c>
      <c r="G86" s="11" t="s">
        <v>116</v>
      </c>
      <c r="H86" s="11" t="s">
        <v>117</v>
      </c>
    </row>
    <row r="87">
      <c r="A87" s="5">
        <v>2.0156519E7</v>
      </c>
      <c r="B87" s="11" t="s">
        <v>103</v>
      </c>
      <c r="C87" s="11">
        <v>0.0</v>
      </c>
      <c r="D87" s="11">
        <v>1.0</v>
      </c>
      <c r="E87" s="11">
        <v>0.0</v>
      </c>
      <c r="F87" s="11">
        <v>0.0</v>
      </c>
      <c r="G87" s="11" t="s">
        <v>116</v>
      </c>
      <c r="H87" s="11" t="s">
        <v>118</v>
      </c>
    </row>
    <row r="88">
      <c r="A88" s="5">
        <v>2.0156519E7</v>
      </c>
      <c r="B88" s="11" t="s">
        <v>74</v>
      </c>
      <c r="C88" s="11">
        <v>7.0</v>
      </c>
      <c r="D88" s="11">
        <v>12.0</v>
      </c>
      <c r="E88" s="11">
        <v>1.0</v>
      </c>
      <c r="F88" s="11">
        <v>0.0</v>
      </c>
      <c r="G88" s="11" t="s">
        <v>116</v>
      </c>
      <c r="H88" s="11" t="s">
        <v>117</v>
      </c>
    </row>
    <row r="89">
      <c r="A89" s="5">
        <v>2.0156519E7</v>
      </c>
      <c r="B89" s="11" t="s">
        <v>67</v>
      </c>
      <c r="C89" s="11">
        <v>18.0</v>
      </c>
      <c r="D89" s="11">
        <v>14.0</v>
      </c>
      <c r="E89" s="11">
        <v>3.0</v>
      </c>
      <c r="F89" s="11">
        <v>0.0</v>
      </c>
      <c r="G89" s="11" t="s">
        <v>116</v>
      </c>
      <c r="H89" s="11" t="s">
        <v>118</v>
      </c>
    </row>
    <row r="90">
      <c r="A90" s="5">
        <v>2.0156519E7</v>
      </c>
      <c r="B90" s="11" t="s">
        <v>59</v>
      </c>
      <c r="C90" s="11">
        <v>9.0</v>
      </c>
      <c r="D90" s="11">
        <v>10.0</v>
      </c>
      <c r="E90" s="11">
        <v>1.0</v>
      </c>
      <c r="F90" s="11">
        <v>0.0</v>
      </c>
      <c r="G90" s="11" t="s">
        <v>116</v>
      </c>
      <c r="H90" s="11" t="s">
        <v>117</v>
      </c>
    </row>
    <row r="91">
      <c r="A91" s="5">
        <v>2.0156519E7</v>
      </c>
      <c r="B91" s="11" t="s">
        <v>69</v>
      </c>
      <c r="C91" s="11">
        <v>0.0</v>
      </c>
      <c r="D91" s="11">
        <v>5.0</v>
      </c>
      <c r="E91" s="11">
        <v>0.0</v>
      </c>
      <c r="F91" s="11">
        <v>0.0</v>
      </c>
      <c r="G91" s="11" t="s">
        <v>116</v>
      </c>
      <c r="H91" s="11" t="s">
        <v>117</v>
      </c>
    </row>
    <row r="92">
      <c r="A92" s="5">
        <v>2.0156519E7</v>
      </c>
      <c r="B92" s="11" t="s">
        <v>88</v>
      </c>
      <c r="C92" s="11">
        <v>3.0</v>
      </c>
      <c r="D92" s="11">
        <v>6.0</v>
      </c>
      <c r="E92" s="11">
        <v>0.0</v>
      </c>
      <c r="F92" s="11">
        <v>0.0</v>
      </c>
      <c r="G92" s="11" t="s">
        <v>116</v>
      </c>
      <c r="H92" s="11" t="s">
        <v>122</v>
      </c>
    </row>
    <row r="93">
      <c r="A93" s="5">
        <v>2.0156519E7</v>
      </c>
      <c r="B93" s="11" t="s">
        <v>76</v>
      </c>
      <c r="C93" s="11">
        <v>7.0</v>
      </c>
      <c r="D93" s="11">
        <v>8.0</v>
      </c>
      <c r="E93" s="11">
        <v>0.0</v>
      </c>
      <c r="F93" s="11">
        <v>0.0</v>
      </c>
      <c r="G93" s="11" t="s">
        <v>116</v>
      </c>
      <c r="H93" s="11" t="s">
        <v>117</v>
      </c>
    </row>
    <row r="94">
      <c r="A94" s="5">
        <v>2.0156519E7</v>
      </c>
      <c r="B94" s="11" t="s">
        <v>84</v>
      </c>
      <c r="C94" s="11">
        <v>5.0</v>
      </c>
      <c r="D94" s="11">
        <v>9.0</v>
      </c>
      <c r="E94" s="11">
        <v>0.0</v>
      </c>
      <c r="F94" s="11">
        <v>0.0</v>
      </c>
      <c r="G94" s="11" t="s">
        <v>119</v>
      </c>
      <c r="H94" s="11" t="s">
        <v>120</v>
      </c>
    </row>
    <row r="95">
      <c r="A95" s="5">
        <v>2.0156519E7</v>
      </c>
      <c r="B95" s="11" t="s">
        <v>99</v>
      </c>
      <c r="C95" s="11">
        <v>0.0</v>
      </c>
      <c r="D95" s="11">
        <v>5.0</v>
      </c>
      <c r="E95" s="11">
        <v>0.0</v>
      </c>
      <c r="F95" s="11">
        <v>0.0</v>
      </c>
      <c r="G95" s="11" t="s">
        <v>116</v>
      </c>
      <c r="H95" s="11" t="s">
        <v>118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47</v>
      </c>
      <c r="C1" s="11" t="s">
        <v>11</v>
      </c>
      <c r="D1" s="11" t="s">
        <v>124</v>
      </c>
      <c r="E1" s="11" t="s">
        <v>109</v>
      </c>
      <c r="F1" s="11" t="s">
        <v>125</v>
      </c>
      <c r="G1" s="11" t="s">
        <v>126</v>
      </c>
      <c r="H1" s="11" t="s">
        <v>111</v>
      </c>
      <c r="I1" s="11" t="s">
        <v>112</v>
      </c>
      <c r="J1" s="11" t="s">
        <v>127</v>
      </c>
      <c r="K1" s="11" t="s">
        <v>128</v>
      </c>
      <c r="L1" s="11" t="s">
        <v>129</v>
      </c>
    </row>
    <row r="2">
      <c r="A2" s="5">
        <v>1.8418557E7</v>
      </c>
      <c r="B2" s="11" t="s">
        <v>52</v>
      </c>
      <c r="C2" s="11">
        <v>3.0</v>
      </c>
      <c r="D2" s="11">
        <v>0.0</v>
      </c>
      <c r="E2" s="11">
        <v>23.0</v>
      </c>
      <c r="F2" s="11">
        <v>0.0</v>
      </c>
      <c r="G2" s="11">
        <v>8.0</v>
      </c>
      <c r="H2" s="11">
        <v>3.0</v>
      </c>
      <c r="I2" s="11">
        <v>0.0</v>
      </c>
      <c r="J2" s="11">
        <v>3.0</v>
      </c>
      <c r="K2" s="11">
        <v>0.0</v>
      </c>
    </row>
    <row r="3">
      <c r="A3" s="5">
        <v>1.8418557E7</v>
      </c>
      <c r="B3" s="11" t="s">
        <v>57</v>
      </c>
      <c r="C3" s="11">
        <v>4.0</v>
      </c>
      <c r="D3" s="11">
        <v>0.0</v>
      </c>
      <c r="E3" s="11">
        <v>43.0</v>
      </c>
      <c r="F3" s="11">
        <v>1.0</v>
      </c>
      <c r="G3" s="11">
        <v>11.0</v>
      </c>
      <c r="H3" s="11">
        <v>6.0</v>
      </c>
      <c r="I3" s="11">
        <v>2.0</v>
      </c>
      <c r="J3" s="11">
        <v>0.0</v>
      </c>
      <c r="K3" s="11">
        <v>1.0</v>
      </c>
    </row>
    <row r="4">
      <c r="A4" s="5">
        <v>1.8418557E7</v>
      </c>
      <c r="B4" s="11" t="s">
        <v>59</v>
      </c>
      <c r="C4" s="11">
        <v>3.0</v>
      </c>
      <c r="D4" s="11">
        <v>0.0</v>
      </c>
      <c r="E4" s="11">
        <v>29.0</v>
      </c>
      <c r="F4" s="11">
        <v>0.0</v>
      </c>
      <c r="G4" s="11">
        <v>10.0</v>
      </c>
      <c r="H4" s="11">
        <v>4.0</v>
      </c>
      <c r="I4" s="11">
        <v>1.0</v>
      </c>
      <c r="J4" s="11">
        <v>4.0</v>
      </c>
      <c r="K4" s="11">
        <v>0.0</v>
      </c>
    </row>
    <row r="5">
      <c r="A5" s="5">
        <v>1.8418557E7</v>
      </c>
      <c r="B5" s="11" t="s">
        <v>64</v>
      </c>
      <c r="C5" s="11">
        <v>2.0</v>
      </c>
      <c r="D5" s="11">
        <v>0.0</v>
      </c>
      <c r="E5" s="11">
        <v>32.0</v>
      </c>
      <c r="F5" s="11">
        <v>0.0</v>
      </c>
      <c r="G5" s="11">
        <v>4.0</v>
      </c>
      <c r="H5" s="11">
        <v>5.0</v>
      </c>
      <c r="I5" s="11">
        <v>1.0</v>
      </c>
      <c r="J5" s="11">
        <v>3.0</v>
      </c>
      <c r="K5" s="11">
        <v>0.0</v>
      </c>
    </row>
    <row r="6">
      <c r="A6" s="5">
        <v>1.8418557E7</v>
      </c>
      <c r="B6" s="11" t="s">
        <v>67</v>
      </c>
      <c r="C6" s="11">
        <v>1.0</v>
      </c>
      <c r="D6" s="11">
        <v>0.0</v>
      </c>
      <c r="E6" s="11">
        <v>9.0</v>
      </c>
      <c r="F6" s="11">
        <v>0.0</v>
      </c>
      <c r="G6" s="11">
        <v>2.0</v>
      </c>
      <c r="H6" s="11">
        <v>1.0</v>
      </c>
      <c r="I6" s="11">
        <v>0.0</v>
      </c>
      <c r="J6" s="11">
        <v>0.0</v>
      </c>
      <c r="K6" s="11">
        <v>1.0</v>
      </c>
    </row>
    <row r="7">
      <c r="A7" s="5">
        <v>1.8418557E7</v>
      </c>
      <c r="B7" s="11" t="s">
        <v>69</v>
      </c>
      <c r="C7" s="11">
        <v>2.0</v>
      </c>
      <c r="D7" s="11">
        <v>0.0</v>
      </c>
      <c r="E7" s="11">
        <v>17.0</v>
      </c>
      <c r="F7" s="11">
        <v>1.0</v>
      </c>
      <c r="G7" s="11">
        <v>3.0</v>
      </c>
      <c r="H7" s="11">
        <v>2.0</v>
      </c>
      <c r="I7" s="11">
        <v>0.0</v>
      </c>
      <c r="J7" s="11">
        <v>1.0</v>
      </c>
      <c r="K7" s="11">
        <v>0.0</v>
      </c>
    </row>
    <row r="8">
      <c r="A8" s="5">
        <v>1.8418557E7</v>
      </c>
      <c r="B8" s="11" t="s">
        <v>72</v>
      </c>
      <c r="C8" s="11">
        <v>3.0</v>
      </c>
      <c r="D8" s="11">
        <v>0.0</v>
      </c>
      <c r="E8" s="11">
        <v>42.0</v>
      </c>
      <c r="F8" s="11">
        <v>1.0</v>
      </c>
      <c r="G8" s="11">
        <v>8.0</v>
      </c>
      <c r="H8" s="11">
        <v>4.0</v>
      </c>
      <c r="I8" s="11">
        <v>2.0</v>
      </c>
      <c r="J8" s="11">
        <v>7.0</v>
      </c>
      <c r="K8" s="11">
        <v>1.0</v>
      </c>
    </row>
    <row r="9">
      <c r="A9" s="5">
        <v>1.8418557E7</v>
      </c>
      <c r="B9" s="11" t="s">
        <v>74</v>
      </c>
      <c r="C9" s="11">
        <v>3.0</v>
      </c>
      <c r="D9" s="11">
        <v>0.0</v>
      </c>
      <c r="E9" s="11">
        <v>45.0</v>
      </c>
      <c r="F9" s="11">
        <v>0.0</v>
      </c>
      <c r="G9" s="11">
        <v>5.0</v>
      </c>
      <c r="H9" s="11">
        <v>4.0</v>
      </c>
      <c r="I9" s="11">
        <v>3.0</v>
      </c>
      <c r="J9" s="11">
        <v>1.0</v>
      </c>
      <c r="K9" s="11">
        <v>2.0</v>
      </c>
    </row>
    <row r="10">
      <c r="A10" s="5">
        <v>1.8418557E7</v>
      </c>
      <c r="B10" s="11" t="s">
        <v>78</v>
      </c>
      <c r="C10" s="11">
        <v>2.0</v>
      </c>
      <c r="D10" s="11">
        <v>0.0</v>
      </c>
      <c r="E10" s="11">
        <v>22.0</v>
      </c>
      <c r="F10" s="11">
        <v>0.0</v>
      </c>
      <c r="G10" s="11">
        <v>2.0</v>
      </c>
      <c r="H10" s="11">
        <v>2.0</v>
      </c>
      <c r="I10" s="11">
        <v>0.0</v>
      </c>
      <c r="J10" s="11">
        <v>2.0</v>
      </c>
      <c r="K10" s="11">
        <v>0.0</v>
      </c>
    </row>
    <row r="11">
      <c r="A11" s="5">
        <v>1.8642464E7</v>
      </c>
      <c r="B11" s="11" t="s">
        <v>84</v>
      </c>
      <c r="C11" s="11">
        <v>6.0</v>
      </c>
      <c r="D11" s="11">
        <v>0.0</v>
      </c>
      <c r="E11" s="11">
        <v>59.0</v>
      </c>
      <c r="F11" s="11">
        <v>1.0</v>
      </c>
      <c r="G11" s="11">
        <v>18.0</v>
      </c>
      <c r="H11" s="11">
        <v>9.0</v>
      </c>
      <c r="I11" s="11">
        <v>0.0</v>
      </c>
      <c r="J11" s="11">
        <v>8.0</v>
      </c>
      <c r="K11" s="11">
        <v>2.0</v>
      </c>
    </row>
    <row r="12">
      <c r="A12" s="5">
        <v>1.8642464E7</v>
      </c>
      <c r="B12" s="11" t="s">
        <v>59</v>
      </c>
      <c r="C12" s="11">
        <v>2.0</v>
      </c>
      <c r="D12" s="11">
        <v>0.0</v>
      </c>
      <c r="E12" s="11">
        <v>27.0</v>
      </c>
      <c r="F12" s="11">
        <v>1.0</v>
      </c>
      <c r="G12" s="11">
        <v>6.0</v>
      </c>
      <c r="H12" s="11">
        <v>3.0</v>
      </c>
      <c r="I12" s="11">
        <v>1.0</v>
      </c>
      <c r="J12" s="11">
        <v>5.0</v>
      </c>
      <c r="K12" s="11">
        <v>0.0</v>
      </c>
    </row>
    <row r="13">
      <c r="A13" s="5">
        <v>1.8642464E7</v>
      </c>
      <c r="B13" s="11" t="s">
        <v>74</v>
      </c>
      <c r="C13" s="11">
        <v>6.0</v>
      </c>
      <c r="D13" s="11">
        <v>0.0</v>
      </c>
      <c r="E13" s="11">
        <v>33.0</v>
      </c>
      <c r="F13" s="11">
        <v>1.0</v>
      </c>
      <c r="G13" s="11">
        <v>18.0</v>
      </c>
      <c r="H13" s="11">
        <v>3.0</v>
      </c>
      <c r="I13" s="11">
        <v>0.0</v>
      </c>
      <c r="J13" s="11">
        <v>4.0</v>
      </c>
      <c r="K13" s="11">
        <v>0.0</v>
      </c>
    </row>
    <row r="14">
      <c r="A14" s="5">
        <v>1.8642464E7</v>
      </c>
      <c r="B14" s="11" t="s">
        <v>61</v>
      </c>
      <c r="C14" s="11">
        <v>6.0</v>
      </c>
      <c r="D14" s="11">
        <v>0.0</v>
      </c>
      <c r="E14" s="11">
        <v>39.0</v>
      </c>
      <c r="F14" s="11">
        <v>1.0</v>
      </c>
      <c r="G14" s="11">
        <v>19.0</v>
      </c>
      <c r="H14" s="11">
        <v>5.0</v>
      </c>
      <c r="I14" s="11">
        <v>0.0</v>
      </c>
      <c r="J14" s="11">
        <v>4.0</v>
      </c>
      <c r="K14" s="11">
        <v>2.0</v>
      </c>
    </row>
    <row r="15">
      <c r="A15" s="5">
        <v>1.8642464E7</v>
      </c>
      <c r="B15" s="11" t="s">
        <v>72</v>
      </c>
      <c r="C15" s="11">
        <v>1.0</v>
      </c>
      <c r="D15" s="11">
        <v>0.0</v>
      </c>
      <c r="E15" s="11">
        <v>18.0</v>
      </c>
      <c r="F15" s="11">
        <v>0.0</v>
      </c>
      <c r="G15" s="11">
        <v>1.0</v>
      </c>
      <c r="H15" s="11">
        <v>2.0</v>
      </c>
      <c r="I15" s="11">
        <v>1.0</v>
      </c>
      <c r="J15" s="11">
        <v>1.0</v>
      </c>
      <c r="K15" s="11">
        <v>0.0</v>
      </c>
    </row>
    <row r="16">
      <c r="A16" s="5">
        <v>1.8642464E7</v>
      </c>
      <c r="B16" s="11" t="s">
        <v>82</v>
      </c>
      <c r="C16" s="11">
        <v>6.0</v>
      </c>
      <c r="D16" s="11">
        <v>1.0</v>
      </c>
      <c r="E16" s="11">
        <v>36.0</v>
      </c>
      <c r="F16" s="11">
        <v>1.0</v>
      </c>
      <c r="G16" s="11">
        <v>19.0</v>
      </c>
      <c r="H16" s="11">
        <v>2.0</v>
      </c>
      <c r="I16" s="11">
        <v>0.0</v>
      </c>
      <c r="J16" s="11">
        <v>10.0</v>
      </c>
      <c r="K16" s="11">
        <v>1.0</v>
      </c>
    </row>
    <row r="17">
      <c r="A17" s="5">
        <v>1.8642464E7</v>
      </c>
      <c r="B17" s="11" t="s">
        <v>78</v>
      </c>
      <c r="C17" s="11">
        <v>2.0</v>
      </c>
      <c r="D17" s="11">
        <v>0.0</v>
      </c>
      <c r="E17" s="11">
        <v>12.0</v>
      </c>
      <c r="F17" s="11">
        <v>1.0</v>
      </c>
      <c r="G17" s="11">
        <v>10.0</v>
      </c>
      <c r="H17" s="11">
        <v>0.0</v>
      </c>
      <c r="I17" s="11">
        <v>0.0</v>
      </c>
      <c r="J17" s="11">
        <v>6.0</v>
      </c>
      <c r="K17" s="11">
        <v>3.0</v>
      </c>
    </row>
    <row r="18">
      <c r="A18" s="5">
        <v>1.8642464E7</v>
      </c>
      <c r="B18" s="11" t="s">
        <v>86</v>
      </c>
      <c r="C18" s="11">
        <v>1.0</v>
      </c>
      <c r="D18" s="11">
        <v>0.0</v>
      </c>
      <c r="E18" s="11">
        <v>11.0</v>
      </c>
      <c r="F18" s="11">
        <v>0.0</v>
      </c>
      <c r="G18" s="11">
        <v>3.0</v>
      </c>
      <c r="H18" s="11">
        <v>1.0</v>
      </c>
      <c r="I18" s="11">
        <v>0.0</v>
      </c>
      <c r="J18" s="11">
        <v>3.0</v>
      </c>
      <c r="K18" s="11">
        <v>2.0</v>
      </c>
    </row>
    <row r="19">
      <c r="A19" s="11">
        <v>1.901901E7</v>
      </c>
      <c r="B19" s="11" t="s">
        <v>84</v>
      </c>
      <c r="C19" s="11">
        <v>3.5</v>
      </c>
      <c r="D19" s="11">
        <v>0.0</v>
      </c>
      <c r="E19" s="11">
        <v>10.0</v>
      </c>
      <c r="F19" s="11">
        <v>1.0</v>
      </c>
      <c r="G19" s="11">
        <v>18.0</v>
      </c>
      <c r="H19" s="11">
        <v>0.0</v>
      </c>
      <c r="I19" s="11">
        <v>0.0</v>
      </c>
      <c r="J19" s="11">
        <v>4.0</v>
      </c>
      <c r="K19" s="11">
        <v>0.0</v>
      </c>
    </row>
    <row r="20">
      <c r="A20" s="11">
        <v>1.901901E7</v>
      </c>
      <c r="B20" s="11" t="s">
        <v>59</v>
      </c>
      <c r="C20" s="11">
        <v>2.0</v>
      </c>
      <c r="D20" s="11">
        <v>0.0</v>
      </c>
      <c r="E20" s="11">
        <v>18.0</v>
      </c>
      <c r="F20" s="11">
        <v>1.0</v>
      </c>
      <c r="G20" s="11">
        <v>4.0</v>
      </c>
      <c r="H20" s="11">
        <v>1.0</v>
      </c>
      <c r="I20" s="11">
        <v>0.0</v>
      </c>
      <c r="J20" s="11">
        <v>4.0</v>
      </c>
      <c r="K20" s="11">
        <v>1.0</v>
      </c>
    </row>
    <row r="21">
      <c r="A21" s="11">
        <v>1.901901E7</v>
      </c>
      <c r="B21" s="11" t="s">
        <v>95</v>
      </c>
      <c r="C21" s="11">
        <v>3.0</v>
      </c>
      <c r="D21" s="11">
        <v>0.0</v>
      </c>
      <c r="E21" s="11">
        <v>14.0</v>
      </c>
      <c r="F21" s="11">
        <v>0.0</v>
      </c>
      <c r="G21" s="11">
        <v>14.0</v>
      </c>
      <c r="H21" s="11">
        <v>2.0</v>
      </c>
      <c r="I21" s="11">
        <v>0.0</v>
      </c>
      <c r="J21" s="11">
        <v>2.0</v>
      </c>
      <c r="K21" s="11">
        <v>0.0</v>
      </c>
    </row>
    <row r="22">
      <c r="A22" s="11">
        <v>1.901901E7</v>
      </c>
      <c r="B22" s="11" t="s">
        <v>61</v>
      </c>
      <c r="C22" s="11">
        <v>5.0</v>
      </c>
      <c r="D22" s="11">
        <v>0.0</v>
      </c>
      <c r="E22" s="11">
        <v>33.0</v>
      </c>
      <c r="F22" s="11">
        <v>1.0</v>
      </c>
      <c r="G22" s="11">
        <v>16.0</v>
      </c>
      <c r="H22" s="11">
        <v>5.0</v>
      </c>
      <c r="I22" s="11">
        <v>0.0</v>
      </c>
      <c r="J22" s="11">
        <v>3.0</v>
      </c>
      <c r="K22" s="11">
        <v>0.0</v>
      </c>
    </row>
    <row r="23">
      <c r="A23" s="11">
        <v>1.901901E7</v>
      </c>
      <c r="B23" s="11" t="s">
        <v>52</v>
      </c>
      <c r="C23" s="11">
        <v>5.0</v>
      </c>
      <c r="D23" s="11">
        <v>0.0</v>
      </c>
      <c r="E23" s="11">
        <v>25.0</v>
      </c>
      <c r="F23" s="11">
        <v>1.0</v>
      </c>
      <c r="G23" s="11">
        <v>15.0</v>
      </c>
      <c r="H23" s="11">
        <v>1.0</v>
      </c>
      <c r="I23" s="11">
        <v>0.0</v>
      </c>
      <c r="J23" s="11">
        <v>2.0</v>
      </c>
      <c r="K23" s="11">
        <v>1.0</v>
      </c>
    </row>
    <row r="24">
      <c r="A24" s="11">
        <v>1.901901E7</v>
      </c>
      <c r="B24" s="11" t="s">
        <v>93</v>
      </c>
      <c r="C24" s="11">
        <v>4.0</v>
      </c>
      <c r="D24" s="11">
        <v>0.0</v>
      </c>
      <c r="E24" s="11">
        <v>25.0</v>
      </c>
      <c r="F24" s="11">
        <v>2.0</v>
      </c>
      <c r="G24" s="11">
        <v>13.0</v>
      </c>
      <c r="H24" s="11">
        <v>2.0</v>
      </c>
      <c r="I24" s="11">
        <v>0.0</v>
      </c>
      <c r="J24" s="11">
        <v>7.0</v>
      </c>
      <c r="K24" s="11">
        <v>0.0</v>
      </c>
    </row>
    <row r="25">
      <c r="A25" s="11">
        <v>1.901901E7</v>
      </c>
      <c r="B25" s="11" t="s">
        <v>97</v>
      </c>
      <c r="C25" s="11">
        <v>3.0</v>
      </c>
      <c r="D25" s="11">
        <v>0.0</v>
      </c>
      <c r="E25" s="11">
        <v>15.0</v>
      </c>
      <c r="F25" s="11">
        <v>0.0</v>
      </c>
      <c r="G25" s="11">
        <v>10.0</v>
      </c>
      <c r="H25" s="11">
        <v>2.0</v>
      </c>
      <c r="I25" s="11">
        <v>0.0</v>
      </c>
      <c r="J25" s="11">
        <v>1.0</v>
      </c>
      <c r="K25" s="11">
        <v>0.0</v>
      </c>
    </row>
    <row r="26">
      <c r="A26" s="11">
        <v>1.901901E7</v>
      </c>
      <c r="B26" s="11" t="s">
        <v>74</v>
      </c>
      <c r="C26" s="11">
        <v>4.0</v>
      </c>
      <c r="D26" s="11">
        <v>0.0</v>
      </c>
      <c r="E26" s="11">
        <v>21.0</v>
      </c>
      <c r="F26" s="11">
        <v>2.0</v>
      </c>
      <c r="G26" s="11">
        <v>14.0</v>
      </c>
      <c r="H26" s="11">
        <v>3.0</v>
      </c>
      <c r="I26" s="11">
        <v>0.0</v>
      </c>
      <c r="J26" s="11">
        <v>0.0</v>
      </c>
      <c r="K26" s="11">
        <v>0.0</v>
      </c>
    </row>
    <row r="27">
      <c r="A27" s="5">
        <v>1.9112746E7</v>
      </c>
      <c r="B27" s="11" t="s">
        <v>84</v>
      </c>
      <c r="C27" s="11">
        <v>6.0</v>
      </c>
      <c r="D27" s="11">
        <v>0.0</v>
      </c>
      <c r="E27" s="11">
        <v>43.0</v>
      </c>
      <c r="F27" s="11">
        <v>1.0</v>
      </c>
      <c r="G27" s="11">
        <v>18.0</v>
      </c>
      <c r="H27" s="11">
        <v>6.0</v>
      </c>
      <c r="I27" s="11">
        <v>0.0</v>
      </c>
      <c r="J27" s="11">
        <v>4.0</v>
      </c>
      <c r="K27" s="11">
        <v>0.0</v>
      </c>
    </row>
    <row r="28">
      <c r="A28" s="5">
        <v>1.9112746E7</v>
      </c>
      <c r="B28" s="11" t="s">
        <v>74</v>
      </c>
      <c r="C28" s="11">
        <v>5.0</v>
      </c>
      <c r="D28" s="11">
        <v>0.0</v>
      </c>
      <c r="E28" s="11">
        <v>53.0</v>
      </c>
      <c r="F28" s="11">
        <v>0.0</v>
      </c>
      <c r="G28" s="11">
        <v>9.0</v>
      </c>
      <c r="H28" s="11">
        <v>8.0</v>
      </c>
      <c r="I28" s="11">
        <v>1.0</v>
      </c>
      <c r="J28" s="11">
        <v>0.0</v>
      </c>
      <c r="K28" s="11">
        <v>0.0</v>
      </c>
    </row>
    <row r="29">
      <c r="A29" s="5">
        <v>1.9112746E7</v>
      </c>
      <c r="B29" s="11" t="s">
        <v>67</v>
      </c>
      <c r="C29" s="11">
        <v>1.0</v>
      </c>
      <c r="D29" s="11">
        <v>0.0</v>
      </c>
      <c r="E29" s="11">
        <v>15.0</v>
      </c>
      <c r="F29" s="11">
        <v>0.0</v>
      </c>
      <c r="G29" s="11">
        <v>1.0</v>
      </c>
      <c r="H29" s="11">
        <v>3.0</v>
      </c>
      <c r="I29" s="11">
        <v>0.0</v>
      </c>
      <c r="J29" s="11">
        <v>0.0</v>
      </c>
      <c r="K29" s="11">
        <v>0.0</v>
      </c>
    </row>
    <row r="30">
      <c r="A30" s="5">
        <v>1.9112746E7</v>
      </c>
      <c r="B30" s="11" t="s">
        <v>52</v>
      </c>
      <c r="C30" s="11">
        <v>6.0</v>
      </c>
      <c r="D30" s="11">
        <v>1.0</v>
      </c>
      <c r="E30" s="11">
        <v>30.0</v>
      </c>
      <c r="F30" s="11">
        <v>3.0</v>
      </c>
      <c r="G30" s="11">
        <v>26.0</v>
      </c>
      <c r="H30" s="11">
        <v>2.0</v>
      </c>
      <c r="I30" s="11">
        <v>2.0</v>
      </c>
      <c r="J30" s="11">
        <v>2.0</v>
      </c>
      <c r="K30" s="11">
        <v>0.0</v>
      </c>
    </row>
    <row r="31">
      <c r="A31" s="5">
        <v>1.9112746E7</v>
      </c>
      <c r="B31" s="11" t="s">
        <v>61</v>
      </c>
      <c r="C31" s="11">
        <v>6.0</v>
      </c>
      <c r="D31" s="11">
        <v>0.0</v>
      </c>
      <c r="E31" s="11">
        <v>51.0</v>
      </c>
      <c r="F31" s="11">
        <v>2.0</v>
      </c>
      <c r="G31" s="11">
        <v>17.0</v>
      </c>
      <c r="H31" s="11">
        <v>7.0</v>
      </c>
      <c r="I31" s="11">
        <v>0.0</v>
      </c>
      <c r="J31" s="11">
        <v>7.0</v>
      </c>
      <c r="K31" s="11">
        <v>1.0</v>
      </c>
    </row>
    <row r="32">
      <c r="A32" s="5">
        <v>1.9112746E7</v>
      </c>
      <c r="B32" s="11" t="s">
        <v>93</v>
      </c>
      <c r="C32" s="11">
        <v>5.4</v>
      </c>
      <c r="D32" s="11">
        <v>0.0</v>
      </c>
      <c r="E32" s="11">
        <v>32.0</v>
      </c>
      <c r="F32" s="11">
        <v>3.0</v>
      </c>
      <c r="G32" s="11">
        <v>19.0</v>
      </c>
      <c r="H32" s="11">
        <v>2.0</v>
      </c>
      <c r="I32" s="11">
        <v>0.0</v>
      </c>
      <c r="J32" s="11">
        <v>6.0</v>
      </c>
      <c r="K32" s="11">
        <v>1.0</v>
      </c>
    </row>
    <row r="33">
      <c r="A33" s="5">
        <v>1.9859354E7</v>
      </c>
      <c r="B33" s="11" t="s">
        <v>59</v>
      </c>
      <c r="C33" s="11">
        <v>3.0</v>
      </c>
      <c r="D33" s="11">
        <v>0.0</v>
      </c>
      <c r="E33" s="11">
        <v>26.0</v>
      </c>
      <c r="F33" s="11">
        <v>2.0</v>
      </c>
    </row>
    <row r="34">
      <c r="A34" s="5">
        <v>1.9859354E7</v>
      </c>
      <c r="B34" s="11" t="s">
        <v>74</v>
      </c>
      <c r="C34" s="11">
        <v>3.0</v>
      </c>
      <c r="D34" s="11">
        <v>0.0</v>
      </c>
      <c r="E34" s="11">
        <v>20.0</v>
      </c>
      <c r="F34" s="11">
        <v>0.0</v>
      </c>
    </row>
    <row r="35">
      <c r="A35" s="5">
        <v>1.9859354E7</v>
      </c>
      <c r="B35" s="11" t="s">
        <v>84</v>
      </c>
      <c r="C35" s="11">
        <v>2.0</v>
      </c>
      <c r="D35" s="11">
        <v>0.0</v>
      </c>
      <c r="E35" s="11">
        <v>33.0</v>
      </c>
      <c r="F35" s="11">
        <v>0.0</v>
      </c>
    </row>
    <row r="36">
      <c r="A36" s="5">
        <v>1.9859354E7</v>
      </c>
      <c r="B36" s="11" t="s">
        <v>93</v>
      </c>
      <c r="C36" s="11">
        <v>3.0</v>
      </c>
      <c r="D36" s="11">
        <v>0.0</v>
      </c>
      <c r="E36" s="11">
        <v>30.0</v>
      </c>
      <c r="F36" s="11">
        <v>1.0</v>
      </c>
    </row>
    <row r="37">
      <c r="A37" s="5">
        <v>1.9859354E7</v>
      </c>
      <c r="B37" s="11" t="s">
        <v>61</v>
      </c>
      <c r="C37" s="11">
        <v>5.0</v>
      </c>
      <c r="D37" s="11">
        <v>0.0</v>
      </c>
      <c r="E37" s="11">
        <v>44.0</v>
      </c>
      <c r="F37" s="11">
        <v>2.0</v>
      </c>
    </row>
    <row r="38">
      <c r="A38" s="5">
        <v>1.9859354E7</v>
      </c>
      <c r="B38" s="11" t="s">
        <v>52</v>
      </c>
      <c r="C38" s="11">
        <v>4.0</v>
      </c>
      <c r="D38" s="11">
        <v>0.0</v>
      </c>
      <c r="E38" s="11">
        <v>44.0</v>
      </c>
      <c r="F38" s="11">
        <v>0.0</v>
      </c>
    </row>
    <row r="39">
      <c r="A39" s="5">
        <v>1.9859354E7</v>
      </c>
      <c r="B39" s="11" t="s">
        <v>82</v>
      </c>
      <c r="C39" s="11">
        <v>1.0</v>
      </c>
      <c r="D39" s="11">
        <v>0.0</v>
      </c>
      <c r="E39" s="11">
        <v>9.0</v>
      </c>
      <c r="F39" s="11">
        <v>0.0</v>
      </c>
    </row>
    <row r="40">
      <c r="A40" s="5">
        <v>1.3848394E7</v>
      </c>
      <c r="B40" s="11" t="s">
        <v>84</v>
      </c>
      <c r="C40" s="11">
        <v>3.0</v>
      </c>
      <c r="D40" s="11">
        <v>0.0</v>
      </c>
      <c r="E40" s="11">
        <v>23.0</v>
      </c>
      <c r="F40" s="11">
        <v>2.0</v>
      </c>
    </row>
    <row r="41">
      <c r="A41" s="5">
        <v>1.3848394E7</v>
      </c>
      <c r="B41" s="11" t="s">
        <v>57</v>
      </c>
      <c r="C41" s="11">
        <v>3.0</v>
      </c>
      <c r="D41" s="11">
        <v>0.0</v>
      </c>
      <c r="E41" s="11">
        <v>22.0</v>
      </c>
      <c r="F41" s="11">
        <v>2.0</v>
      </c>
    </row>
    <row r="42">
      <c r="A42" s="5">
        <v>1.3848394E7</v>
      </c>
      <c r="B42" s="11" t="s">
        <v>59</v>
      </c>
      <c r="C42" s="11">
        <v>2.0</v>
      </c>
      <c r="D42" s="11">
        <v>0.0</v>
      </c>
      <c r="E42" s="11">
        <v>9.0</v>
      </c>
      <c r="F42" s="11">
        <v>0.0</v>
      </c>
    </row>
    <row r="43">
      <c r="A43" s="5">
        <v>1.3848394E7</v>
      </c>
      <c r="B43" s="11" t="s">
        <v>74</v>
      </c>
      <c r="C43" s="11">
        <v>3.0</v>
      </c>
      <c r="D43" s="11">
        <v>0.0</v>
      </c>
      <c r="E43" s="11">
        <v>18.0</v>
      </c>
      <c r="F43" s="11">
        <v>3.0</v>
      </c>
    </row>
    <row r="44">
      <c r="A44" s="5">
        <v>1.3848394E7</v>
      </c>
      <c r="B44" s="11" t="s">
        <v>61</v>
      </c>
      <c r="C44" s="11">
        <v>5.0</v>
      </c>
      <c r="D44" s="11">
        <v>0.0</v>
      </c>
      <c r="E44" s="11">
        <v>20.0</v>
      </c>
      <c r="F44" s="11">
        <v>1.0</v>
      </c>
    </row>
    <row r="45">
      <c r="A45" s="5">
        <v>1.3848394E7</v>
      </c>
      <c r="B45" s="11" t="s">
        <v>52</v>
      </c>
      <c r="C45" s="11">
        <v>5.0</v>
      </c>
      <c r="D45" s="11">
        <v>0.0</v>
      </c>
      <c r="E45" s="11">
        <v>41.0</v>
      </c>
      <c r="F45" s="11">
        <v>0.0</v>
      </c>
    </row>
    <row r="46">
      <c r="A46" s="5">
        <v>1.3848394E7</v>
      </c>
      <c r="B46" s="11" t="s">
        <v>93</v>
      </c>
      <c r="C46" s="11">
        <v>4.0</v>
      </c>
      <c r="D46" s="11">
        <v>0.0</v>
      </c>
      <c r="E46" s="11">
        <v>24.0</v>
      </c>
      <c r="F46" s="11">
        <v>0.0</v>
      </c>
    </row>
    <row r="47">
      <c r="A47" s="5">
        <v>1.9989363E7</v>
      </c>
      <c r="B47" s="11" t="s">
        <v>59</v>
      </c>
      <c r="C47" s="11">
        <v>3.0</v>
      </c>
      <c r="D47" s="11">
        <v>0.0</v>
      </c>
      <c r="E47" s="11">
        <v>13.0</v>
      </c>
      <c r="F47" s="11">
        <v>0.0</v>
      </c>
      <c r="G47" s="11">
        <v>12.0</v>
      </c>
      <c r="H47" s="11">
        <v>0.0</v>
      </c>
      <c r="I47" s="11">
        <v>0.0</v>
      </c>
      <c r="J47" s="11">
        <v>5.0</v>
      </c>
      <c r="K47" s="11">
        <v>1.0</v>
      </c>
    </row>
    <row r="48">
      <c r="A48" s="5">
        <v>1.9989363E7</v>
      </c>
      <c r="B48" s="11" t="s">
        <v>84</v>
      </c>
      <c r="C48" s="11">
        <v>3.0</v>
      </c>
      <c r="D48" s="11">
        <v>1.0</v>
      </c>
      <c r="E48" s="11">
        <v>5.0</v>
      </c>
      <c r="F48" s="11">
        <v>6.0</v>
      </c>
      <c r="G48" s="11">
        <v>15.0</v>
      </c>
      <c r="H48" s="11">
        <v>0.0</v>
      </c>
      <c r="I48" s="11">
        <v>0.0</v>
      </c>
      <c r="J48" s="11">
        <v>2.0</v>
      </c>
      <c r="K48" s="11">
        <v>0.0</v>
      </c>
    </row>
    <row r="49">
      <c r="A49" s="5">
        <v>1.9989363E7</v>
      </c>
      <c r="B49" s="11" t="s">
        <v>72</v>
      </c>
      <c r="C49" s="11">
        <v>5.0</v>
      </c>
      <c r="D49" s="11">
        <v>0.0</v>
      </c>
      <c r="E49" s="11">
        <v>31.0</v>
      </c>
      <c r="F49" s="11">
        <v>1.0</v>
      </c>
      <c r="G49" s="11">
        <v>15.0</v>
      </c>
      <c r="H49" s="11">
        <v>0.0</v>
      </c>
      <c r="I49" s="11">
        <v>1.0</v>
      </c>
      <c r="J49" s="11">
        <v>7.0</v>
      </c>
      <c r="K49" s="11">
        <v>2.0</v>
      </c>
    </row>
    <row r="50">
      <c r="A50" s="5">
        <v>1.9989363E7</v>
      </c>
      <c r="B50" s="11" t="s">
        <v>101</v>
      </c>
      <c r="C50" s="11">
        <v>2.0</v>
      </c>
      <c r="D50" s="11">
        <v>0.0</v>
      </c>
      <c r="E50" s="11">
        <v>13.0</v>
      </c>
      <c r="F50" s="11">
        <v>0.0</v>
      </c>
      <c r="G50" s="11">
        <v>9.0</v>
      </c>
      <c r="H50" s="11">
        <v>0.0</v>
      </c>
      <c r="I50" s="11">
        <v>1.0</v>
      </c>
      <c r="J50" s="11">
        <v>3.0</v>
      </c>
      <c r="K50" s="11">
        <v>0.0</v>
      </c>
    </row>
    <row r="51">
      <c r="A51" s="5">
        <v>1.9989363E7</v>
      </c>
      <c r="B51" s="11" t="s">
        <v>86</v>
      </c>
      <c r="C51" s="11">
        <v>2.0</v>
      </c>
      <c r="D51" s="11">
        <v>0.0</v>
      </c>
      <c r="E51" s="11">
        <v>17.0</v>
      </c>
      <c r="F51" s="11">
        <v>1.0</v>
      </c>
      <c r="G51" s="11">
        <v>6.0</v>
      </c>
      <c r="H51" s="11">
        <v>1.0</v>
      </c>
      <c r="I51" s="11">
        <v>0.0</v>
      </c>
      <c r="J51" s="11">
        <v>6.0</v>
      </c>
      <c r="K51" s="11">
        <v>0.0</v>
      </c>
    </row>
    <row r="52">
      <c r="A52" s="5">
        <v>1.9989363E7</v>
      </c>
      <c r="B52" s="11" t="s">
        <v>57</v>
      </c>
      <c r="C52" s="11">
        <v>0.4</v>
      </c>
      <c r="D52" s="11">
        <v>0.0</v>
      </c>
      <c r="E52" s="11">
        <v>1.0</v>
      </c>
      <c r="F52" s="11">
        <v>1.0</v>
      </c>
      <c r="G52" s="11">
        <v>4.0</v>
      </c>
      <c r="H52" s="11">
        <v>0.0</v>
      </c>
      <c r="I52" s="11">
        <v>0.0</v>
      </c>
      <c r="J52" s="11">
        <v>1.0</v>
      </c>
      <c r="K52" s="11">
        <v>0.0</v>
      </c>
    </row>
    <row r="53">
      <c r="A53" s="5">
        <v>2.0648752E7</v>
      </c>
      <c r="B53" s="11" t="s">
        <v>84</v>
      </c>
      <c r="C53" s="11">
        <v>3.0</v>
      </c>
      <c r="D53" s="11">
        <v>0.0</v>
      </c>
      <c r="E53" s="11">
        <v>22.0</v>
      </c>
      <c r="F53" s="11">
        <v>0.0</v>
      </c>
      <c r="G53" s="11">
        <v>11.0</v>
      </c>
      <c r="H53" s="11">
        <v>2.0</v>
      </c>
      <c r="I53" s="11">
        <v>0.0</v>
      </c>
      <c r="J53" s="11">
        <v>7.0</v>
      </c>
      <c r="K53" s="11">
        <v>0.0</v>
      </c>
    </row>
    <row r="54">
      <c r="A54" s="5">
        <v>2.0648752E7</v>
      </c>
      <c r="B54" s="11" t="s">
        <v>107</v>
      </c>
      <c r="C54" s="11">
        <v>2.0</v>
      </c>
      <c r="D54" s="11">
        <v>0.0</v>
      </c>
      <c r="E54" s="11">
        <v>27.0</v>
      </c>
      <c r="F54" s="11">
        <v>0.0</v>
      </c>
      <c r="G54" s="11">
        <v>5.0</v>
      </c>
      <c r="H54" s="11">
        <v>6.0</v>
      </c>
      <c r="I54" s="11">
        <v>0.0</v>
      </c>
      <c r="J54" s="11">
        <v>2.0</v>
      </c>
      <c r="K54" s="11">
        <v>0.0</v>
      </c>
    </row>
    <row r="55">
      <c r="A55" s="5">
        <v>2.0648752E7</v>
      </c>
      <c r="B55" s="11" t="s">
        <v>103</v>
      </c>
      <c r="C55" s="11">
        <v>4.0</v>
      </c>
      <c r="D55" s="11">
        <v>0.0</v>
      </c>
      <c r="E55" s="11">
        <v>16.0</v>
      </c>
      <c r="F55" s="11">
        <v>3.0</v>
      </c>
      <c r="G55" s="11">
        <v>15.0</v>
      </c>
      <c r="H55" s="11">
        <v>2.0</v>
      </c>
      <c r="I55" s="11">
        <v>0.0</v>
      </c>
      <c r="J55" s="11">
        <v>0.0</v>
      </c>
      <c r="K55" s="11">
        <v>0.0</v>
      </c>
    </row>
    <row r="56">
      <c r="A56" s="5">
        <v>2.0648752E7</v>
      </c>
      <c r="B56" s="11" t="s">
        <v>74</v>
      </c>
      <c r="C56" s="11">
        <v>2.0</v>
      </c>
      <c r="D56" s="11">
        <v>0.0</v>
      </c>
      <c r="E56" s="11">
        <v>10.0</v>
      </c>
      <c r="F56" s="11">
        <v>0.0</v>
      </c>
      <c r="G56" s="11">
        <v>8.0</v>
      </c>
      <c r="H56" s="11">
        <v>2.0</v>
      </c>
      <c r="I56" s="11">
        <v>0.0</v>
      </c>
      <c r="J56" s="11">
        <v>0.0</v>
      </c>
      <c r="K56" s="11">
        <v>0.0</v>
      </c>
    </row>
    <row r="57">
      <c r="A57" s="5">
        <v>2.0648752E7</v>
      </c>
      <c r="B57" s="11" t="s">
        <v>61</v>
      </c>
      <c r="C57" s="11">
        <v>3.0</v>
      </c>
      <c r="D57" s="11">
        <v>0.0</v>
      </c>
      <c r="E57" s="11">
        <v>31.0</v>
      </c>
      <c r="F57" s="11">
        <v>0.0</v>
      </c>
      <c r="G57" s="11">
        <v>7.0</v>
      </c>
      <c r="H57" s="11">
        <v>2.0</v>
      </c>
      <c r="I57" s="11">
        <v>2.0</v>
      </c>
      <c r="J57" s="11">
        <v>4.0</v>
      </c>
      <c r="K57" s="11">
        <v>0.0</v>
      </c>
    </row>
    <row r="58">
      <c r="A58" s="5">
        <v>2.0648752E7</v>
      </c>
      <c r="B58" s="11" t="s">
        <v>52</v>
      </c>
      <c r="C58" s="11">
        <v>2.5</v>
      </c>
      <c r="D58" s="11">
        <v>0.0</v>
      </c>
      <c r="E58" s="11">
        <v>26.0</v>
      </c>
      <c r="F58" s="11">
        <v>0.0</v>
      </c>
      <c r="G58" s="11">
        <v>7.0</v>
      </c>
      <c r="H58" s="11">
        <v>3.0</v>
      </c>
      <c r="I58" s="11">
        <v>1.0</v>
      </c>
      <c r="J58" s="11">
        <v>0.0</v>
      </c>
      <c r="K58" s="11">
        <v>1.0</v>
      </c>
    </row>
    <row r="59">
      <c r="A59" s="5">
        <v>2.0648752E7</v>
      </c>
      <c r="B59" s="11" t="s">
        <v>82</v>
      </c>
      <c r="C59" s="11">
        <v>1.0</v>
      </c>
      <c r="D59" s="11">
        <v>0.0</v>
      </c>
      <c r="E59" s="11">
        <v>14.0</v>
      </c>
      <c r="F59" s="11">
        <v>0.0</v>
      </c>
      <c r="G59" s="11">
        <v>1.0</v>
      </c>
      <c r="H59" s="11">
        <v>0.0</v>
      </c>
      <c r="I59" s="11">
        <v>1.0</v>
      </c>
      <c r="J59" s="11">
        <v>2.0</v>
      </c>
      <c r="K59" s="11">
        <v>0.0</v>
      </c>
    </row>
    <row r="60">
      <c r="A60" s="5">
        <v>2.0156519E7</v>
      </c>
      <c r="B60" s="11" t="s">
        <v>84</v>
      </c>
      <c r="C60" s="11">
        <v>3.0</v>
      </c>
      <c r="D60" s="11">
        <v>0.0</v>
      </c>
      <c r="E60" s="11">
        <v>37.0</v>
      </c>
      <c r="F60" s="11">
        <v>0.0</v>
      </c>
      <c r="G60" s="11">
        <v>9.0</v>
      </c>
      <c r="H60" s="11">
        <v>3.0</v>
      </c>
      <c r="I60" s="11">
        <v>2.0</v>
      </c>
      <c r="J60" s="11">
        <v>9.0</v>
      </c>
      <c r="K60" s="11">
        <v>0.0</v>
      </c>
    </row>
    <row r="61">
      <c r="A61" s="5">
        <v>2.0156519E7</v>
      </c>
      <c r="B61" s="11" t="s">
        <v>52</v>
      </c>
      <c r="C61" s="11">
        <v>4.0</v>
      </c>
      <c r="D61" s="11">
        <v>0.0</v>
      </c>
      <c r="E61" s="11">
        <v>29.0</v>
      </c>
      <c r="F61" s="11">
        <v>0.0</v>
      </c>
      <c r="G61" s="11">
        <v>13.0</v>
      </c>
      <c r="H61" s="11">
        <v>2.0</v>
      </c>
      <c r="I61" s="11">
        <v>1.0</v>
      </c>
      <c r="J61" s="11">
        <v>3.0</v>
      </c>
      <c r="K61" s="11">
        <v>0.0</v>
      </c>
    </row>
    <row r="62">
      <c r="A62" s="5">
        <v>2.0156519E7</v>
      </c>
      <c r="B62" s="11" t="s">
        <v>61</v>
      </c>
      <c r="C62" s="11">
        <v>5.0</v>
      </c>
      <c r="D62" s="11">
        <v>0.0</v>
      </c>
      <c r="E62" s="11">
        <v>25.0</v>
      </c>
      <c r="F62" s="11">
        <v>4.0</v>
      </c>
      <c r="G62" s="11">
        <v>17.0</v>
      </c>
      <c r="H62" s="11">
        <v>2.0</v>
      </c>
      <c r="I62" s="11">
        <v>0.0</v>
      </c>
      <c r="J62" s="11">
        <v>3.0</v>
      </c>
      <c r="K62" s="11">
        <v>0.0</v>
      </c>
    </row>
    <row r="63">
      <c r="A63" s="5">
        <v>2.0156519E7</v>
      </c>
      <c r="B63" s="11" t="s">
        <v>103</v>
      </c>
      <c r="C63" s="11">
        <v>5.0</v>
      </c>
      <c r="D63" s="11">
        <v>0.0</v>
      </c>
      <c r="E63" s="11">
        <v>26.0</v>
      </c>
      <c r="F63" s="11">
        <v>0.0</v>
      </c>
      <c r="G63" s="11">
        <v>18.0</v>
      </c>
      <c r="H63" s="11">
        <v>3.0</v>
      </c>
      <c r="I63" s="11">
        <v>0.0</v>
      </c>
      <c r="J63" s="11">
        <v>1.0</v>
      </c>
      <c r="K63" s="11">
        <v>1.0</v>
      </c>
    </row>
    <row r="64">
      <c r="A64" s="5">
        <v>2.0156519E7</v>
      </c>
      <c r="B64" s="11" t="s">
        <v>74</v>
      </c>
      <c r="C64" s="11">
        <v>1.0</v>
      </c>
      <c r="D64" s="11">
        <v>0.0</v>
      </c>
      <c r="E64" s="11">
        <v>9.0</v>
      </c>
      <c r="F64" s="11">
        <v>0.0</v>
      </c>
      <c r="G64" s="11">
        <v>2.0</v>
      </c>
      <c r="H64" s="11">
        <v>1.0</v>
      </c>
      <c r="I64" s="11">
        <v>0.0</v>
      </c>
      <c r="J64" s="11">
        <v>2.0</v>
      </c>
      <c r="K64" s="11">
        <v>0.0</v>
      </c>
    </row>
    <row r="65">
      <c r="A65" s="5">
        <v>2.0156519E7</v>
      </c>
      <c r="B65" s="11" t="s">
        <v>59</v>
      </c>
      <c r="C65" s="11">
        <v>0.1</v>
      </c>
      <c r="D65" s="11">
        <v>0.0</v>
      </c>
      <c r="E65" s="11">
        <v>1.0</v>
      </c>
      <c r="F65" s="11">
        <v>0.0</v>
      </c>
      <c r="G65" s="11">
        <v>1.0</v>
      </c>
      <c r="H65" s="11">
        <v>0.0</v>
      </c>
      <c r="I65" s="11">
        <v>0.0</v>
      </c>
      <c r="J65" s="11">
        <v>1.0</v>
      </c>
      <c r="K65" s="1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130</v>
      </c>
      <c r="C1" s="11" t="s">
        <v>131</v>
      </c>
      <c r="D1" s="11" t="s">
        <v>132</v>
      </c>
      <c r="E1" s="11" t="s">
        <v>133</v>
      </c>
    </row>
    <row r="2">
      <c r="A2" s="5">
        <v>1.8418557E7</v>
      </c>
      <c r="B2" s="11" t="s">
        <v>57</v>
      </c>
      <c r="C2" s="11">
        <v>1.0</v>
      </c>
      <c r="D2" s="11">
        <v>0.0</v>
      </c>
      <c r="E2" s="11">
        <v>0.0</v>
      </c>
    </row>
    <row r="3">
      <c r="A3" s="5">
        <v>1.8418557E7</v>
      </c>
      <c r="B3" s="11" t="s">
        <v>67</v>
      </c>
      <c r="C3" s="11">
        <v>2.0</v>
      </c>
      <c r="D3" s="11">
        <v>0.0</v>
      </c>
      <c r="E3" s="11">
        <v>0.0</v>
      </c>
    </row>
    <row r="4">
      <c r="A4" s="5">
        <v>1.8642464E7</v>
      </c>
      <c r="B4" s="11" t="s">
        <v>52</v>
      </c>
      <c r="C4" s="11">
        <v>2.0</v>
      </c>
      <c r="D4" s="11">
        <v>0.0</v>
      </c>
      <c r="E4" s="11">
        <v>0.0</v>
      </c>
    </row>
    <row r="5">
      <c r="A5" s="5">
        <v>1.8642464E7</v>
      </c>
      <c r="B5" s="11" t="s">
        <v>86</v>
      </c>
      <c r="C5" s="11">
        <v>1.0</v>
      </c>
      <c r="D5" s="11">
        <v>0.0</v>
      </c>
      <c r="E5" s="11">
        <v>0.0</v>
      </c>
    </row>
    <row r="6">
      <c r="A6" s="5">
        <v>1.8642464E7</v>
      </c>
      <c r="B6" s="11" t="s">
        <v>67</v>
      </c>
      <c r="C6" s="11">
        <v>1.0</v>
      </c>
      <c r="D6" s="11">
        <v>0.0</v>
      </c>
      <c r="E6" s="11">
        <v>0.0</v>
      </c>
    </row>
    <row r="7">
      <c r="A7" s="5">
        <v>1.8642464E7</v>
      </c>
      <c r="B7" s="11" t="s">
        <v>74</v>
      </c>
      <c r="C7" s="11">
        <v>1.0</v>
      </c>
      <c r="D7" s="11">
        <v>0.0</v>
      </c>
      <c r="E7" s="11">
        <v>0.0</v>
      </c>
    </row>
    <row r="8">
      <c r="A8" s="11">
        <v>1.901901E7</v>
      </c>
      <c r="B8" s="11" t="s">
        <v>93</v>
      </c>
      <c r="C8" s="11">
        <v>3.0</v>
      </c>
      <c r="D8" s="11">
        <v>0.0</v>
      </c>
      <c r="E8" s="11">
        <v>0.0</v>
      </c>
    </row>
    <row r="9">
      <c r="A9" s="11">
        <v>1.901901E7</v>
      </c>
      <c r="B9" s="11" t="s">
        <v>88</v>
      </c>
      <c r="C9" s="11">
        <v>1.0</v>
      </c>
      <c r="D9" s="11">
        <v>0.0</v>
      </c>
      <c r="E9" s="11">
        <v>0.0</v>
      </c>
    </row>
    <row r="10">
      <c r="A10" s="11">
        <v>1.901901E7</v>
      </c>
      <c r="B10" s="11" t="s">
        <v>61</v>
      </c>
      <c r="C10" s="11">
        <v>1.0</v>
      </c>
      <c r="D10" s="11">
        <v>0.0</v>
      </c>
      <c r="E10" s="11">
        <v>0.0</v>
      </c>
    </row>
    <row r="11">
      <c r="A11" s="11">
        <v>1.901901E7</v>
      </c>
      <c r="B11" s="11" t="s">
        <v>52</v>
      </c>
      <c r="C11" s="11">
        <v>1.0</v>
      </c>
      <c r="D11" s="11">
        <v>0.0</v>
      </c>
      <c r="E11" s="11">
        <v>0.0</v>
      </c>
    </row>
    <row r="12">
      <c r="A12" s="5">
        <v>1.9112746E7</v>
      </c>
      <c r="B12" s="11" t="s">
        <v>52</v>
      </c>
      <c r="C12" s="11">
        <v>2.0</v>
      </c>
      <c r="D12" s="11">
        <v>0.0</v>
      </c>
      <c r="E12" s="11">
        <v>0.0</v>
      </c>
    </row>
    <row r="13">
      <c r="A13" s="5">
        <v>1.9112746E7</v>
      </c>
      <c r="B13" s="11" t="s">
        <v>72</v>
      </c>
      <c r="C13" s="11">
        <v>1.0</v>
      </c>
      <c r="D13" s="11">
        <v>0.0</v>
      </c>
      <c r="E13" s="11">
        <v>0.0</v>
      </c>
    </row>
    <row r="14">
      <c r="A14" s="5">
        <v>1.9112746E7</v>
      </c>
      <c r="B14" s="11" t="s">
        <v>67</v>
      </c>
      <c r="C14" s="11">
        <v>1.0</v>
      </c>
      <c r="D14" s="11">
        <v>0.0</v>
      </c>
      <c r="E14" s="11">
        <v>0.0</v>
      </c>
    </row>
    <row r="15">
      <c r="A15" s="5">
        <v>1.9112746E7</v>
      </c>
      <c r="B15" s="11" t="s">
        <v>61</v>
      </c>
      <c r="C15" s="11">
        <v>2.0</v>
      </c>
      <c r="D15" s="11">
        <v>0.0</v>
      </c>
      <c r="E15" s="11">
        <v>0.0</v>
      </c>
    </row>
    <row r="16">
      <c r="A16" s="5">
        <v>1.9112746E7</v>
      </c>
      <c r="B16" s="11" t="s">
        <v>76</v>
      </c>
      <c r="C16" s="11">
        <v>0.0</v>
      </c>
      <c r="D16" s="11">
        <v>0.0</v>
      </c>
      <c r="E16" s="11">
        <v>1.0</v>
      </c>
    </row>
    <row r="17">
      <c r="A17" s="5">
        <v>1.9112746E7</v>
      </c>
      <c r="B17" s="11" t="s">
        <v>84</v>
      </c>
      <c r="C17" s="11">
        <v>0.0</v>
      </c>
      <c r="D17" s="11">
        <v>1.0</v>
      </c>
      <c r="E17" s="11">
        <v>0.0</v>
      </c>
    </row>
    <row r="18">
      <c r="A18" s="5">
        <v>1.9859354E7</v>
      </c>
      <c r="B18" s="11" t="s">
        <v>52</v>
      </c>
      <c r="C18" s="11">
        <v>1.0</v>
      </c>
      <c r="D18" s="11">
        <v>0.0</v>
      </c>
      <c r="E18" s="11">
        <v>0.0</v>
      </c>
    </row>
    <row r="19">
      <c r="A19" s="5">
        <v>1.9859354E7</v>
      </c>
      <c r="B19" s="11" t="s">
        <v>69</v>
      </c>
      <c r="C19" s="11">
        <v>1.0</v>
      </c>
      <c r="D19" s="11">
        <v>0.0</v>
      </c>
      <c r="E19" s="11">
        <v>0.0</v>
      </c>
    </row>
    <row r="20">
      <c r="A20" s="5">
        <v>1.9859354E7</v>
      </c>
      <c r="B20" s="11" t="s">
        <v>76</v>
      </c>
      <c r="C20" s="11">
        <v>1.0</v>
      </c>
      <c r="D20" s="11">
        <v>0.0</v>
      </c>
      <c r="E20" s="11">
        <v>0.0</v>
      </c>
    </row>
    <row r="21">
      <c r="A21" s="5">
        <v>1.3848394E7</v>
      </c>
      <c r="B21" s="11" t="s">
        <v>74</v>
      </c>
      <c r="C21" s="11">
        <v>1.0</v>
      </c>
      <c r="D21" s="11">
        <v>0.0</v>
      </c>
      <c r="E21" s="11">
        <v>0.0</v>
      </c>
    </row>
    <row r="22">
      <c r="A22" s="5">
        <v>1.3848394E7</v>
      </c>
      <c r="B22" s="11" t="s">
        <v>93</v>
      </c>
      <c r="C22" s="11">
        <v>1.0</v>
      </c>
      <c r="D22" s="11">
        <v>0.0</v>
      </c>
      <c r="E22" s="11">
        <v>0.0</v>
      </c>
    </row>
    <row r="23">
      <c r="A23" s="5">
        <v>1.3848394E7</v>
      </c>
      <c r="B23" s="11" t="s">
        <v>61</v>
      </c>
      <c r="C23" s="11">
        <v>1.0</v>
      </c>
      <c r="D23" s="11">
        <v>0.0</v>
      </c>
      <c r="E23" s="11">
        <v>0.0</v>
      </c>
    </row>
    <row r="24">
      <c r="A24" s="5">
        <v>1.3848394E7</v>
      </c>
      <c r="B24" s="11" t="s">
        <v>52</v>
      </c>
      <c r="C24" s="11">
        <v>1.0</v>
      </c>
      <c r="D24" s="11">
        <v>0.0</v>
      </c>
      <c r="E24" s="11">
        <v>0.0</v>
      </c>
    </row>
    <row r="25">
      <c r="A25" s="5">
        <v>1.9989363E7</v>
      </c>
      <c r="B25" s="11" t="s">
        <v>52</v>
      </c>
      <c r="C25" s="11">
        <v>1.0</v>
      </c>
      <c r="D25" s="11">
        <v>0.0</v>
      </c>
      <c r="E25" s="11">
        <v>0.0</v>
      </c>
    </row>
    <row r="26">
      <c r="A26" s="5">
        <v>2.0648752E7</v>
      </c>
      <c r="B26" s="11" t="s">
        <v>103</v>
      </c>
      <c r="C26" s="11">
        <v>1.0</v>
      </c>
      <c r="D26" s="11">
        <v>0.0</v>
      </c>
      <c r="E26" s="11">
        <v>0.0</v>
      </c>
    </row>
    <row r="27">
      <c r="A27" s="5">
        <v>2.0156519E7</v>
      </c>
      <c r="B27" s="11" t="s">
        <v>74</v>
      </c>
      <c r="C27" s="11">
        <v>1.0</v>
      </c>
      <c r="D27" s="11">
        <v>0.0</v>
      </c>
      <c r="E27" s="11">
        <v>0.0</v>
      </c>
    </row>
    <row r="28">
      <c r="A28" s="5">
        <v>2.0156519E7</v>
      </c>
      <c r="B28" s="11" t="s">
        <v>59</v>
      </c>
      <c r="C28" s="11">
        <v>1.0</v>
      </c>
      <c r="D28" s="11">
        <v>1.0</v>
      </c>
      <c r="E28" s="11">
        <v>0.0</v>
      </c>
    </row>
    <row r="29">
      <c r="A29" s="5">
        <v>2.0156519E7</v>
      </c>
      <c r="B29" s="11" t="s">
        <v>103</v>
      </c>
      <c r="C29" s="11">
        <v>0.0</v>
      </c>
      <c r="D29" s="11">
        <v>1.0</v>
      </c>
      <c r="E29" s="11">
        <v>0.0</v>
      </c>
    </row>
    <row r="30">
      <c r="A30" s="5">
        <v>2.0156519E7</v>
      </c>
      <c r="B30" s="11" t="s">
        <v>61</v>
      </c>
      <c r="C30" s="11">
        <v>1.0</v>
      </c>
      <c r="D30" s="11">
        <v>0.0</v>
      </c>
      <c r="E30" s="1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47</v>
      </c>
      <c r="B1" s="12" t="s">
        <v>48</v>
      </c>
      <c r="C1" s="12" t="s">
        <v>134</v>
      </c>
      <c r="D1" s="12" t="s">
        <v>135</v>
      </c>
      <c r="E1" s="12" t="s">
        <v>136</v>
      </c>
      <c r="F1" s="12" t="s">
        <v>109</v>
      </c>
      <c r="G1" s="12" t="s">
        <v>110</v>
      </c>
      <c r="H1" s="12" t="s">
        <v>111</v>
      </c>
      <c r="I1" s="12" t="s">
        <v>112</v>
      </c>
      <c r="J1" s="12" t="s">
        <v>137</v>
      </c>
      <c r="K1" s="12" t="s">
        <v>138</v>
      </c>
      <c r="L1" s="11" t="s">
        <v>139</v>
      </c>
      <c r="M1" s="11" t="s">
        <v>11</v>
      </c>
      <c r="N1" s="12" t="s">
        <v>140</v>
      </c>
      <c r="O1" s="12" t="s">
        <v>141</v>
      </c>
      <c r="P1" s="12" t="s">
        <v>142</v>
      </c>
      <c r="Q1" s="12" t="s">
        <v>143</v>
      </c>
      <c r="R1" s="12" t="s">
        <v>124</v>
      </c>
      <c r="S1" s="12" t="s">
        <v>127</v>
      </c>
      <c r="T1" s="12" t="s">
        <v>128</v>
      </c>
      <c r="U1" s="11" t="s">
        <v>144</v>
      </c>
      <c r="V1" s="11" t="s">
        <v>145</v>
      </c>
      <c r="W1" s="12" t="s">
        <v>131</v>
      </c>
      <c r="X1" s="12" t="s">
        <v>132</v>
      </c>
      <c r="Y1" s="12" t="s">
        <v>133</v>
      </c>
    </row>
    <row r="2">
      <c r="A2" s="13" t="str">
        <f>IFERROR(__xludf.DUMMYFUNCTION("FILTER(Players!A2:A1000, Players!A2:A1000&lt;&gt;"""")
"),"P01")</f>
        <v>P01</v>
      </c>
      <c r="B2" s="13" t="str">
        <f t="array" ref="B2">IF(A2="","",XLOOKUP(A2,Players!A:A,Players!B:B,""))
</f>
        <v>Sriram A</v>
      </c>
      <c r="C2" s="13">
        <f>IF(A2="","",
MAX(
  COUNTIF(Batting!B:B,A2),
  COUNTIF(Bowling!B:B,A2),
  COUNTIF(Fielding!B:B,A2)
))
</f>
        <v>9</v>
      </c>
      <c r="D2" s="13">
        <f>IF($A2="","",COUNTIF(Batting!$B:$B,$A2))</f>
        <v>9</v>
      </c>
      <c r="E2" s="13">
        <f>IF($A2="","",COUNTIFS(Batting!$B:$B,$A2,Batting!$G:$G,"No"))
</f>
        <v>0</v>
      </c>
      <c r="F2" s="13">
        <f>IF($A2="","",SUMIF(Batting!$B:$B,$A2,Batting!$C:$C))
</f>
        <v>249</v>
      </c>
      <c r="G2" s="13">
        <f>IF($A2="","",SUMIF(Batting!$B:$B,$A2,Batting!$D:$D))
</f>
        <v>212</v>
      </c>
      <c r="H2" s="13">
        <f>IF($A2="","",SUMIF(Batting!$B:$B,$A2,Batting!$E:$E))
</f>
        <v>28</v>
      </c>
      <c r="I2" s="13">
        <f>IF($A2="","",SUMIF(Batting!$B:$B,$A2,Batting!$F:$F))
</f>
        <v>2</v>
      </c>
      <c r="J2" s="13">
        <f t="shared" ref="J2:J32" si="1">IF($A2="","",IF(($D2-$E2)=0,"-",ROUND($F2/($D2-$E2),2)))
</f>
        <v>27.67</v>
      </c>
      <c r="K2" s="13">
        <f t="shared" ref="K2:K34" si="2">IF($A2="","",IF($G2=0,0,ROUND(($F2/$G2)*100,2)))
</f>
        <v>117.45</v>
      </c>
      <c r="L2" s="13">
        <f t="array" ref="L2">IF($A2="","",
SUM(
  IF(Bowling!$B$2:$B1000=$A2,
      (INT(Bowling!$C$2:$C1000)*6) + ROUND((Bowling!$C$2:$C1000-INT(Bowling!$C$2:$C1000))*10,0),
      0
    )
))
</f>
        <v>179</v>
      </c>
      <c r="M2" s="13">
        <f t="shared" ref="M2:M47" si="3">IF($A2="","",INT($L2/6) + MOD($L2,6)/10)
</f>
        <v>29.5</v>
      </c>
      <c r="N2" s="13">
        <f>IF($A2="","",SUMIF(Bowling!$B:$B,$A2,Bowling!$E:$E))
</f>
        <v>218</v>
      </c>
      <c r="O2" s="13">
        <f>IF($A2="","",SUMIF(Bowling!$B:$B,$A2,Bowling!$F:$F))
</f>
        <v>4</v>
      </c>
      <c r="P2" s="13">
        <f t="shared" ref="P2:P31" si="4">IF($A2="","",IF($L2=0,0,ROUND($N2/($L2/6),2)))
</f>
        <v>7.31</v>
      </c>
      <c r="Q2" s="13">
        <f>IF($A2="","",SUMIF(Bowling!$B:$B,$A2,Bowling!$G:$G))
</f>
        <v>69</v>
      </c>
      <c r="R2" s="13">
        <f>IF($A2="","",SUMIF(Bowling!$B:$B,$A2,Bowling!$D:$D))
</f>
        <v>1</v>
      </c>
      <c r="S2" s="13">
        <f>IF($A2="","",SUMIF(Bowling!$B:$B,$A2,Bowling!$J:$J))
</f>
        <v>10</v>
      </c>
      <c r="T2" s="13">
        <f>IF($A2="","",SUMIF(Bowling!$B:$B,$A2,Bowling!$K:$K))
</f>
        <v>2</v>
      </c>
      <c r="U2" s="13">
        <f>IF($A2="","",SUMIF(Bowling!$B:$B,$A2,Bowling!$H:$H))
</f>
        <v>11</v>
      </c>
      <c r="V2" s="13">
        <f>IF($A2="","",SUMIF(Bowling!$B:$B,$A2,Bowling!$I:$I))
</f>
        <v>4</v>
      </c>
      <c r="W2" s="13">
        <f>IF($A2="","",SUMIF(Fielding!$B:$B,$A2,Fielding!$C:$C))
</f>
        <v>8</v>
      </c>
      <c r="X2" s="13">
        <f>IF($A2="","",SUMIF(Fielding!$B:$B,$A2,Fielding!$D:$D))
</f>
        <v>0</v>
      </c>
      <c r="Y2" s="13">
        <f>IF($A2="","",SUMIF(Fielding!$B:$B,$A2,Fielding!$E:$E))
</f>
        <v>0</v>
      </c>
    </row>
    <row r="3">
      <c r="A3" s="13" t="str">
        <f>IFERROR(__xludf.DUMMYFUNCTION("""COMPUTED_VALUE"""),"P02")</f>
        <v>P02</v>
      </c>
      <c r="B3" s="13" t="str">
        <f t="array" ref="B3">IF(A3="","",XLOOKUP(A3,Players!A:A,Players!B:B,""))
</f>
        <v>Gautam Raj</v>
      </c>
      <c r="C3" s="13">
        <f>IF(A3="","",
MAX(
  COUNTIF(Batting!B:B,A3),
  COUNTIF(Bowling!B:B,A3),
  COUNTIF(Fielding!B:B,A3)
))
</f>
        <v>3</v>
      </c>
      <c r="D3" s="13">
        <f>IF($A3="","",COUNTIF(Batting!$B:$B,$A3))</f>
        <v>3</v>
      </c>
      <c r="E3" s="13">
        <f>IF($A3="","",COUNTIFS(Batting!$B:$B,$A3,Batting!$G:$G,"No"))
</f>
        <v>0</v>
      </c>
      <c r="F3" s="13">
        <f>IF($A3="","",SUMIF(Batting!$B:$B,$A3,Batting!$C:$C))
</f>
        <v>4</v>
      </c>
      <c r="G3" s="13">
        <f>IF($A3="","",SUMIF(Batting!$B:$B,$A3,Batting!$D:$D))
</f>
        <v>20</v>
      </c>
      <c r="H3" s="13">
        <f>IF($A3="","",SUMIF(Batting!$B:$B,$A3,Batting!$E:$E))
</f>
        <v>0</v>
      </c>
      <c r="I3" s="13">
        <f>IF($A3="","",SUMIF(Batting!$B:$B,$A3,Batting!$F:$F))
</f>
        <v>0</v>
      </c>
      <c r="J3" s="13">
        <f t="shared" si="1"/>
        <v>1.33</v>
      </c>
      <c r="K3" s="13">
        <f t="shared" si="2"/>
        <v>20</v>
      </c>
      <c r="L3" s="13">
        <f t="array" ref="L3">IF($A3="","",
SUM(
  IF(Bowling!$B$2:$B1000=$A3,
      (INT(Bowling!$C$2:$C1000)*6) + ROUND((Bowling!$C$2:$C1000-INT(Bowling!$C$2:$C1000))*10,0),
      0
    )
))
</f>
        <v>46</v>
      </c>
      <c r="M3" s="13">
        <f t="shared" si="3"/>
        <v>7.4</v>
      </c>
      <c r="N3" s="13">
        <f>IF($A3="","",SUMIF(Bowling!$B:$B,$A3,Bowling!$E:$E))
</f>
        <v>66</v>
      </c>
      <c r="O3" s="13">
        <f>IF($A3="","",SUMIF(Bowling!$B:$B,$A3,Bowling!$F:$F))
</f>
        <v>4</v>
      </c>
      <c r="P3" s="13">
        <f t="shared" si="4"/>
        <v>8.61</v>
      </c>
      <c r="Q3" s="13">
        <f>IF($A3="","",SUMIF(Bowling!$B:$B,$A3,Bowling!$G:$G))
</f>
        <v>15</v>
      </c>
      <c r="R3" s="13">
        <f>IF($A3="","",SUMIF(Bowling!$B:$B,$A3,Bowling!$D:$D))
</f>
        <v>0</v>
      </c>
      <c r="S3" s="13">
        <f>IF($A3="","",SUMIF(Bowling!$B:$B,$A3,Bowling!$J:$J))
</f>
        <v>1</v>
      </c>
      <c r="T3" s="13">
        <f>IF($A3="","",SUMIF(Bowling!$B:$B,$A3,Bowling!$K:$K))
</f>
        <v>1</v>
      </c>
      <c r="U3" s="13">
        <f>IF($A3="","",SUMIF(Bowling!$B:$B,$A3,Bowling!$H:$H))
</f>
        <v>6</v>
      </c>
      <c r="V3" s="13">
        <f>IF($A3="","",SUMIF(Bowling!$B:$B,$A3,Bowling!$I:$I))
</f>
        <v>2</v>
      </c>
      <c r="W3" s="13">
        <f>IF($A3="","",SUMIF(Fielding!$B:$B,$A3,Fielding!$C:$C))
</f>
        <v>1</v>
      </c>
      <c r="X3" s="13">
        <f>IF($A3="","",SUMIF(Fielding!$B:$B,$A3,Fielding!$D:$D))
</f>
        <v>0</v>
      </c>
      <c r="Y3" s="13">
        <f>IF($A3="","",SUMIF(Fielding!$B:$B,$A3,Fielding!$E:$E))
</f>
        <v>0</v>
      </c>
    </row>
    <row r="4">
      <c r="A4" s="13" t="str">
        <f>IFERROR(__xludf.DUMMYFUNCTION("""COMPUTED_VALUE"""),"P03")</f>
        <v>P03</v>
      </c>
      <c r="B4" s="13" t="str">
        <f t="array" ref="B4">IF(A4="","",XLOOKUP(A4,Players!A:A,Players!B:B,""))
</f>
        <v>Jai</v>
      </c>
      <c r="C4" s="13">
        <f>IF(A4="","",
MAX(
  COUNTIF(Batting!B:B,A4),
  COUNTIF(Bowling!B:B,A4),
  COUNTIF(Fielding!B:B,A4)
))
</f>
        <v>8</v>
      </c>
      <c r="D4" s="13">
        <f>IF($A4="","",COUNTIF(Batting!$B:$B,$A4))</f>
        <v>8</v>
      </c>
      <c r="E4" s="13">
        <f>IF($A4="","",COUNTIFS(Batting!$B:$B,$A4,Batting!$G:$G,"No"))
</f>
        <v>2</v>
      </c>
      <c r="F4" s="13">
        <f>IF($A4="","",SUMIF(Batting!$B:$B,$A4,Batting!$C:$C))
</f>
        <v>85</v>
      </c>
      <c r="G4" s="13">
        <f>IF($A4="","",SUMIF(Batting!$B:$B,$A4,Batting!$D:$D))
</f>
        <v>113</v>
      </c>
      <c r="H4" s="13">
        <f>IF($A4="","",SUMIF(Batting!$B:$B,$A4,Batting!$E:$E))
</f>
        <v>13</v>
      </c>
      <c r="I4" s="13">
        <f>IF($A4="","",SUMIF(Batting!$B:$B,$A4,Batting!$F:$F))
</f>
        <v>0</v>
      </c>
      <c r="J4" s="13">
        <f t="shared" si="1"/>
        <v>14.17</v>
      </c>
      <c r="K4" s="13">
        <f t="shared" si="2"/>
        <v>75.22</v>
      </c>
      <c r="L4" s="13">
        <f t="array" ref="L4">IF($A4="","",
SUM(
  IF(Bowling!$B$2:$B1000=$A4,
      (INT(Bowling!$C$2:$C1000)*6) + ROUND((Bowling!$C$2:$C1000-INT(Bowling!$C$2:$C1000))*10,0),
      0
    )
))
</f>
        <v>91</v>
      </c>
      <c r="M4" s="13">
        <f t="shared" si="3"/>
        <v>15.1</v>
      </c>
      <c r="N4" s="13">
        <f>IF($A4="","",SUMIF(Bowling!$B:$B,$A4,Bowling!$E:$E))
</f>
        <v>123</v>
      </c>
      <c r="O4" s="13">
        <f>IF($A4="","",SUMIF(Bowling!$B:$B,$A4,Bowling!$F:$F))
</f>
        <v>4</v>
      </c>
      <c r="P4" s="13">
        <f t="shared" si="4"/>
        <v>8.11</v>
      </c>
      <c r="Q4" s="13">
        <f>IF($A4="","",SUMIF(Bowling!$B:$B,$A4,Bowling!$G:$G))
</f>
        <v>33</v>
      </c>
      <c r="R4" s="13">
        <f>IF($A4="","",SUMIF(Bowling!$B:$B,$A4,Bowling!$D:$D))
</f>
        <v>0</v>
      </c>
      <c r="S4" s="13">
        <f>IF($A4="","",SUMIF(Bowling!$B:$B,$A4,Bowling!$J:$J))
</f>
        <v>19</v>
      </c>
      <c r="T4" s="13">
        <f>IF($A4="","",SUMIF(Bowling!$B:$B,$A4,Bowling!$K:$K))
</f>
        <v>2</v>
      </c>
      <c r="U4" s="13">
        <f>IF($A4="","",SUMIF(Bowling!$B:$B,$A4,Bowling!$H:$H))
</f>
        <v>8</v>
      </c>
      <c r="V4" s="13">
        <f>IF($A4="","",SUMIF(Bowling!$B:$B,$A4,Bowling!$I:$I))
</f>
        <v>2</v>
      </c>
      <c r="W4" s="13">
        <f>IF($A4="","",SUMIF(Fielding!$B:$B,$A4,Fielding!$C:$C))
</f>
        <v>1</v>
      </c>
      <c r="X4" s="13">
        <f>IF($A4="","",SUMIF(Fielding!$B:$B,$A4,Fielding!$D:$D))
</f>
        <v>1</v>
      </c>
      <c r="Y4" s="13">
        <f>IF($A4="","",SUMIF(Fielding!$B:$B,$A4,Fielding!$E:$E))
</f>
        <v>0</v>
      </c>
    </row>
    <row r="5">
      <c r="A5" s="13" t="str">
        <f>IFERROR(__xludf.DUMMYFUNCTION("""COMPUTED_VALUE"""),"P04")</f>
        <v>P04</v>
      </c>
      <c r="B5" s="13" t="str">
        <f t="array" ref="B5">IF(A5="","",XLOOKUP(A5,Players!A:A,Players!B:B,""))
</f>
        <v>Jeeva</v>
      </c>
      <c r="C5" s="13">
        <f>IF(A5="","",
MAX(
  COUNTIF(Batting!B:B,A5),
  COUNTIF(Bowling!B:B,A5),
  COUNTIF(Fielding!B:B,A5)
))
</f>
        <v>9</v>
      </c>
      <c r="D5" s="13">
        <f>IF($A5="","",COUNTIF(Batting!$B:$B,$A5))</f>
        <v>9</v>
      </c>
      <c r="E5" s="13">
        <f>IF($A5="","",COUNTIFS(Batting!$B:$B,$A5,Batting!$G:$G,"No"))
</f>
        <v>1</v>
      </c>
      <c r="F5" s="13">
        <f>IF($A5="","",SUMIF(Batting!$B:$B,$A5,Batting!$C:$C))
</f>
        <v>163</v>
      </c>
      <c r="G5" s="13">
        <f>IF($A5="","",SUMIF(Batting!$B:$B,$A5,Batting!$D:$D))
</f>
        <v>147</v>
      </c>
      <c r="H5" s="13">
        <f>IF($A5="","",SUMIF(Batting!$B:$B,$A5,Batting!$E:$E))
</f>
        <v>15</v>
      </c>
      <c r="I5" s="13">
        <f>IF($A5="","",SUMIF(Batting!$B:$B,$A5,Batting!$F:$F))
</f>
        <v>7</v>
      </c>
      <c r="J5" s="13">
        <f t="shared" si="1"/>
        <v>20.38</v>
      </c>
      <c r="K5" s="13">
        <f t="shared" si="2"/>
        <v>110.88</v>
      </c>
      <c r="L5" s="13">
        <f t="array" ref="L5">IF($A5="","",
SUM(
  IF(Bowling!$B$2:$B1000=$A5,
      (INT(Bowling!$C$2:$C1000)*6) + ROUND((Bowling!$C$2:$C1000-INT(Bowling!$C$2:$C1000))*10,0),
      0
    )
))
</f>
        <v>210</v>
      </c>
      <c r="M5" s="13">
        <f t="shared" si="3"/>
        <v>35</v>
      </c>
      <c r="N5" s="13">
        <f>IF($A5="","",SUMIF(Bowling!$B:$B,$A5,Bowling!$E:$E))
</f>
        <v>243</v>
      </c>
      <c r="O5" s="13">
        <f>IF($A5="","",SUMIF(Bowling!$B:$B,$A5,Bowling!$F:$F))
</f>
        <v>11</v>
      </c>
      <c r="P5" s="13">
        <f t="shared" si="4"/>
        <v>6.94</v>
      </c>
      <c r="Q5" s="13">
        <f>IF($A5="","",SUMIF(Bowling!$B:$B,$A5,Bowling!$G:$G))
</f>
        <v>76</v>
      </c>
      <c r="R5" s="13">
        <f>IF($A5="","",SUMIF(Bowling!$B:$B,$A5,Bowling!$D:$D))
</f>
        <v>0</v>
      </c>
      <c r="S5" s="13">
        <f>IF($A5="","",SUMIF(Bowling!$B:$B,$A5,Bowling!$J:$J))
</f>
        <v>21</v>
      </c>
      <c r="T5" s="13">
        <f>IF($A5="","",SUMIF(Bowling!$B:$B,$A5,Bowling!$K:$K))
</f>
        <v>3</v>
      </c>
      <c r="U5" s="13">
        <f>IF($A5="","",SUMIF(Bowling!$B:$B,$A5,Bowling!$H:$H))
</f>
        <v>21</v>
      </c>
      <c r="V5" s="13">
        <f>IF($A5="","",SUMIF(Bowling!$B:$B,$A5,Bowling!$I:$I))
</f>
        <v>2</v>
      </c>
      <c r="W5" s="13">
        <f>IF($A5="","",SUMIF(Fielding!$B:$B,$A5,Fielding!$C:$C))
</f>
        <v>5</v>
      </c>
      <c r="X5" s="13">
        <f>IF($A5="","",SUMIF(Fielding!$B:$B,$A5,Fielding!$D:$D))
</f>
        <v>0</v>
      </c>
      <c r="Y5" s="13">
        <f>IF($A5="","",SUMIF(Fielding!$B:$B,$A5,Fielding!$E:$E))
</f>
        <v>0</v>
      </c>
    </row>
    <row r="6">
      <c r="A6" s="13" t="str">
        <f>IFERROR(__xludf.DUMMYFUNCTION("""COMPUTED_VALUE"""),"P05")</f>
        <v>P05</v>
      </c>
      <c r="B6" s="13" t="str">
        <f t="array" ref="B6">IF(A6="","",XLOOKUP(A6,Players!A:A,Players!B:B,""))
</f>
        <v>Naveen</v>
      </c>
      <c r="C6" s="13">
        <f>IF(A6="","",
MAX(
  COUNTIF(Batting!B:B,A6),
  COUNTIF(Bowling!B:B,A6),
  COUNTIF(Fielding!B:B,A6)
))
</f>
        <v>1</v>
      </c>
      <c r="D6" s="13">
        <f>IF($A6="","",COUNTIF(Batting!$B:$B,$A6))</f>
        <v>1</v>
      </c>
      <c r="E6" s="13">
        <f>IF($A6="","",COUNTIFS(Batting!$B:$B,$A6,Batting!$G:$G,"No"))
</f>
        <v>0</v>
      </c>
      <c r="F6" s="13">
        <f>IF($A6="","",SUMIF(Batting!$B:$B,$A6,Batting!$C:$C))
</f>
        <v>4</v>
      </c>
      <c r="G6" s="13">
        <f>IF($A6="","",SUMIF(Batting!$B:$B,$A6,Batting!$D:$D))
</f>
        <v>6</v>
      </c>
      <c r="H6" s="13">
        <f>IF($A6="","",SUMIF(Batting!$B:$B,$A6,Batting!$E:$E))
</f>
        <v>1</v>
      </c>
      <c r="I6" s="13">
        <f>IF($A6="","",SUMIF(Batting!$B:$B,$A6,Batting!$F:$F))
</f>
        <v>0</v>
      </c>
      <c r="J6" s="13">
        <f t="shared" si="1"/>
        <v>4</v>
      </c>
      <c r="K6" s="13">
        <f t="shared" si="2"/>
        <v>66.67</v>
      </c>
      <c r="L6" s="13">
        <f t="array" ref="L6">IF($A6="","",
SUM(
  IF(Bowling!$B$2:$B1000=$A6,
      (INT(Bowling!$C$2:$C1000)*6) + ROUND((Bowling!$C$2:$C1000-INT(Bowling!$C$2:$C1000))*10,0),
      0
    )
))
</f>
        <v>12</v>
      </c>
      <c r="M6" s="13">
        <f t="shared" si="3"/>
        <v>2</v>
      </c>
      <c r="N6" s="13">
        <f>IF($A6="","",SUMIF(Bowling!$B:$B,$A6,Bowling!$E:$E))
</f>
        <v>32</v>
      </c>
      <c r="O6" s="13">
        <f>IF($A6="","",SUMIF(Bowling!$B:$B,$A6,Bowling!$F:$F))
</f>
        <v>0</v>
      </c>
      <c r="P6" s="13">
        <f t="shared" si="4"/>
        <v>16</v>
      </c>
      <c r="Q6" s="13">
        <f>IF($A6="","",SUMIF(Bowling!$B:$B,$A6,Bowling!$G:$G))
</f>
        <v>4</v>
      </c>
      <c r="R6" s="13">
        <f>IF($A6="","",SUMIF(Bowling!$B:$B,$A6,Bowling!$D:$D))
</f>
        <v>0</v>
      </c>
      <c r="S6" s="13">
        <f>IF($A6="","",SUMIF(Bowling!$B:$B,$A6,Bowling!$J:$J))
</f>
        <v>3</v>
      </c>
      <c r="T6" s="13">
        <f>IF($A6="","",SUMIF(Bowling!$B:$B,$A6,Bowling!$K:$K))
</f>
        <v>0</v>
      </c>
      <c r="U6" s="13">
        <f>IF($A6="","",SUMIF(Bowling!$B:$B,$A6,Bowling!$H:$H))
</f>
        <v>5</v>
      </c>
      <c r="V6" s="13">
        <f>IF($A6="","",SUMIF(Bowling!$B:$B,$A6,Bowling!$I:$I))
</f>
        <v>1</v>
      </c>
      <c r="W6" s="13">
        <f>IF($A6="","",SUMIF(Fielding!$B:$B,$A6,Fielding!$C:$C))
</f>
        <v>0</v>
      </c>
      <c r="X6" s="13">
        <f>IF($A6="","",SUMIF(Fielding!$B:$B,$A6,Fielding!$D:$D))
</f>
        <v>0</v>
      </c>
      <c r="Y6" s="13">
        <f>IF($A6="","",SUMIF(Fielding!$B:$B,$A6,Fielding!$E:$E))
</f>
        <v>0</v>
      </c>
    </row>
    <row r="7">
      <c r="A7" s="13" t="str">
        <f>IFERROR(__xludf.DUMMYFUNCTION("""COMPUTED_VALUE"""),"P06")</f>
        <v>P06</v>
      </c>
      <c r="B7" s="13" t="str">
        <f t="array" ref="B7">IF(A7="","",XLOOKUP(A7,Players!A:A,Players!B:B,""))
</f>
        <v>Sanjay V</v>
      </c>
      <c r="C7" s="13">
        <f>IF(A7="","",
MAX(
  COUNTIF(Batting!B:B,A7),
  COUNTIF(Bowling!B:B,A7),
  COUNTIF(Fielding!B:B,A7)
))
</f>
        <v>6</v>
      </c>
      <c r="D7" s="13">
        <f>IF($A7="","",COUNTIF(Batting!$B:$B,$A7))</f>
        <v>6</v>
      </c>
      <c r="E7" s="13">
        <f>IF($A7="","",COUNTIFS(Batting!$B:$B,$A7,Batting!$G:$G,"No"))
</f>
        <v>0</v>
      </c>
      <c r="F7" s="13">
        <f>IF($A7="","",SUMIF(Batting!$B:$B,$A7,Batting!$C:$C))
</f>
        <v>119</v>
      </c>
      <c r="G7" s="13">
        <f>IF($A7="","",SUMIF(Batting!$B:$B,$A7,Batting!$D:$D))
</f>
        <v>117</v>
      </c>
      <c r="H7" s="13">
        <f>IF($A7="","",SUMIF(Batting!$B:$B,$A7,Batting!$E:$E))
</f>
        <v>19</v>
      </c>
      <c r="I7" s="13">
        <f>IF($A7="","",SUMIF(Batting!$B:$B,$A7,Batting!$F:$F))
</f>
        <v>1</v>
      </c>
      <c r="J7" s="13">
        <f t="shared" si="1"/>
        <v>19.83</v>
      </c>
      <c r="K7" s="13">
        <f t="shared" si="2"/>
        <v>101.71</v>
      </c>
      <c r="L7" s="13">
        <f t="array" ref="L7">IF($A7="","",
SUM(
  IF(Bowling!$B$2:$B1000=$A7,
      (INT(Bowling!$C$2:$C1000)*6) + ROUND((Bowling!$C$2:$C1000-INT(Bowling!$C$2:$C1000))*10,0),
      0
    )
))
</f>
        <v>12</v>
      </c>
      <c r="M7" s="13">
        <f t="shared" si="3"/>
        <v>2</v>
      </c>
      <c r="N7" s="13">
        <f>IF($A7="","",SUMIF(Bowling!$B:$B,$A7,Bowling!$E:$E))
</f>
        <v>24</v>
      </c>
      <c r="O7" s="13">
        <f>IF($A7="","",SUMIF(Bowling!$B:$B,$A7,Bowling!$F:$F))
</f>
        <v>0</v>
      </c>
      <c r="P7" s="13">
        <f t="shared" si="4"/>
        <v>12</v>
      </c>
      <c r="Q7" s="13">
        <f>IF($A7="","",SUMIF(Bowling!$B:$B,$A7,Bowling!$G:$G))
</f>
        <v>3</v>
      </c>
      <c r="R7" s="13">
        <f>IF($A7="","",SUMIF(Bowling!$B:$B,$A7,Bowling!$D:$D))
</f>
        <v>0</v>
      </c>
      <c r="S7" s="13">
        <f>IF($A7="","",SUMIF(Bowling!$B:$B,$A7,Bowling!$J:$J))
</f>
        <v>0</v>
      </c>
      <c r="T7" s="13">
        <f>IF($A7="","",SUMIF(Bowling!$B:$B,$A7,Bowling!$K:$K))
</f>
        <v>1</v>
      </c>
      <c r="U7" s="13">
        <f>IF($A7="","",SUMIF(Bowling!$B:$B,$A7,Bowling!$H:$H))
</f>
        <v>4</v>
      </c>
      <c r="V7" s="13">
        <f>IF($A7="","",SUMIF(Bowling!$B:$B,$A7,Bowling!$I:$I))
</f>
        <v>0</v>
      </c>
      <c r="W7" s="13">
        <f>IF($A7="","",SUMIF(Fielding!$B:$B,$A7,Fielding!$C:$C))
</f>
        <v>4</v>
      </c>
      <c r="X7" s="13">
        <f>IF($A7="","",SUMIF(Fielding!$B:$B,$A7,Fielding!$D:$D))
</f>
        <v>0</v>
      </c>
      <c r="Y7" s="13">
        <f>IF($A7="","",SUMIF(Fielding!$B:$B,$A7,Fielding!$E:$E))
</f>
        <v>0</v>
      </c>
    </row>
    <row r="8">
      <c r="A8" s="13" t="str">
        <f>IFERROR(__xludf.DUMMYFUNCTION("""COMPUTED_VALUE"""),"P07")</f>
        <v>P07</v>
      </c>
      <c r="B8" s="13" t="str">
        <f t="array" ref="B8">IF(A8="","",XLOOKUP(A8,Players!A:A,Players!B:B,""))
</f>
        <v>Saravanan G</v>
      </c>
      <c r="C8" s="13">
        <f>IF(A8="","",
MAX(
  COUNTIF(Batting!B:B,A8),
  COUNTIF(Bowling!B:B,A8),
  COUNTIF(Fielding!B:B,A8)
))
</f>
        <v>7</v>
      </c>
      <c r="D8" s="13">
        <f>IF($A8="","",COUNTIF(Batting!$B:$B,$A8))</f>
        <v>7</v>
      </c>
      <c r="E8" s="13">
        <f>IF($A8="","",COUNTIFS(Batting!$B:$B,$A8,Batting!$G:$G,"No"))
</f>
        <v>1</v>
      </c>
      <c r="F8" s="13">
        <f>IF($A8="","",SUMIF(Batting!$B:$B,$A8,Batting!$C:$C))
</f>
        <v>55</v>
      </c>
      <c r="G8" s="13">
        <f>IF($A8="","",SUMIF(Batting!$B:$B,$A8,Batting!$D:$D))
</f>
        <v>79</v>
      </c>
      <c r="H8" s="13">
        <f>IF($A8="","",SUMIF(Batting!$B:$B,$A8,Batting!$E:$E))
</f>
        <v>4</v>
      </c>
      <c r="I8" s="13">
        <f>IF($A8="","",SUMIF(Batting!$B:$B,$A8,Batting!$F:$F))
</f>
        <v>0</v>
      </c>
      <c r="J8" s="13">
        <f t="shared" si="1"/>
        <v>9.17</v>
      </c>
      <c r="K8" s="13">
        <f t="shared" si="2"/>
        <v>69.62</v>
      </c>
      <c r="L8" s="13">
        <f t="array" ref="L8">IF($A8="","",
SUM(
  IF(Bowling!$B$2:$B1000=$A8,
      (INT(Bowling!$C$2:$C1000)*6) + ROUND((Bowling!$C$2:$C1000-INT(Bowling!$C$2:$C1000))*10,0),
      0
    )
))
</f>
        <v>12</v>
      </c>
      <c r="M8" s="13">
        <f t="shared" si="3"/>
        <v>2</v>
      </c>
      <c r="N8" s="13">
        <f>IF($A8="","",SUMIF(Bowling!$B:$B,$A8,Bowling!$E:$E))
</f>
        <v>17</v>
      </c>
      <c r="O8" s="13">
        <f>IF($A8="","",SUMIF(Bowling!$B:$B,$A8,Bowling!$F:$F))
</f>
        <v>1</v>
      </c>
      <c r="P8" s="13">
        <f t="shared" si="4"/>
        <v>8.5</v>
      </c>
      <c r="Q8" s="13">
        <f>IF($A8="","",SUMIF(Bowling!$B:$B,$A8,Bowling!$G:$G))
</f>
        <v>3</v>
      </c>
      <c r="R8" s="13">
        <f>IF($A8="","",SUMIF(Bowling!$B:$B,$A8,Bowling!$D:$D))
</f>
        <v>0</v>
      </c>
      <c r="S8" s="13">
        <f>IF($A8="","",SUMIF(Bowling!$B:$B,$A8,Bowling!$J:$J))
</f>
        <v>1</v>
      </c>
      <c r="T8" s="13">
        <f>IF($A8="","",SUMIF(Bowling!$B:$B,$A8,Bowling!$K:$K))
</f>
        <v>0</v>
      </c>
      <c r="U8" s="13">
        <f>IF($A8="","",SUMIF(Bowling!$B:$B,$A8,Bowling!$H:$H))
</f>
        <v>2</v>
      </c>
      <c r="V8" s="13">
        <f>IF($A8="","",SUMIF(Bowling!$B:$B,$A8,Bowling!$I:$I))
</f>
        <v>0</v>
      </c>
      <c r="W8" s="13">
        <f>IF($A8="","",SUMIF(Fielding!$B:$B,$A8,Fielding!$C:$C))
</f>
        <v>1</v>
      </c>
      <c r="X8" s="13">
        <f>IF($A8="","",SUMIF(Fielding!$B:$B,$A8,Fielding!$D:$D))
</f>
        <v>0</v>
      </c>
      <c r="Y8" s="13">
        <f>IF($A8="","",SUMIF(Fielding!$B:$B,$A8,Fielding!$E:$E))
</f>
        <v>0</v>
      </c>
    </row>
    <row r="9">
      <c r="A9" s="13" t="str">
        <f>IFERROR(__xludf.DUMMYFUNCTION("""COMPUTED_VALUE"""),"P08")</f>
        <v>P08</v>
      </c>
      <c r="B9" s="13" t="str">
        <f t="array" ref="B9">IF(A9="","",XLOOKUP(A9,Players!A:A,Players!B:B,""))
</f>
        <v>Senthil kumar</v>
      </c>
      <c r="C9" s="13">
        <f>IF(A9="","",
MAX(
  COUNTIF(Batting!B:B,A9),
  COUNTIF(Bowling!B:B,A9),
  COUNTIF(Fielding!B:B,A9)
))
</f>
        <v>4</v>
      </c>
      <c r="D9" s="13">
        <f>IF($A9="","",COUNTIF(Batting!$B:$B,$A9))</f>
        <v>4</v>
      </c>
      <c r="E9" s="13">
        <f>IF($A9="","",COUNTIFS(Batting!$B:$B,$A9,Batting!$G:$G,"No"))
</f>
        <v>1</v>
      </c>
      <c r="F9" s="13">
        <f>IF($A9="","",SUMIF(Batting!$B:$B,$A9,Batting!$C:$C))
</f>
        <v>18</v>
      </c>
      <c r="G9" s="13">
        <f>IF($A9="","",SUMIF(Batting!$B:$B,$A9,Batting!$D:$D))
</f>
        <v>35</v>
      </c>
      <c r="H9" s="13">
        <f>IF($A9="","",SUMIF(Batting!$B:$B,$A9,Batting!$E:$E))
</f>
        <v>2</v>
      </c>
      <c r="I9" s="13">
        <f>IF($A9="","",SUMIF(Batting!$B:$B,$A9,Batting!$F:$F))
</f>
        <v>0</v>
      </c>
      <c r="J9" s="13">
        <f t="shared" si="1"/>
        <v>6</v>
      </c>
      <c r="K9" s="13">
        <f t="shared" si="2"/>
        <v>51.43</v>
      </c>
      <c r="L9" s="13">
        <f t="array" ref="L9">IF($A9="","",
SUM(
  IF(Bowling!$B$2:$B1000=$A9,
      (INT(Bowling!$C$2:$C1000)*6) + ROUND((Bowling!$C$2:$C1000-INT(Bowling!$C$2:$C1000))*10,0),
      0
    )
))
</f>
        <v>54</v>
      </c>
      <c r="M9" s="13">
        <f t="shared" si="3"/>
        <v>9</v>
      </c>
      <c r="N9" s="13">
        <f>IF($A9="","",SUMIF(Bowling!$B:$B,$A9,Bowling!$E:$E))
</f>
        <v>91</v>
      </c>
      <c r="O9" s="13">
        <f>IF($A9="","",SUMIF(Bowling!$B:$B,$A9,Bowling!$F:$F))
</f>
        <v>2</v>
      </c>
      <c r="P9" s="13">
        <f t="shared" si="4"/>
        <v>10.11</v>
      </c>
      <c r="Q9" s="13">
        <f>IF($A9="","",SUMIF(Bowling!$B:$B,$A9,Bowling!$G:$G))
</f>
        <v>24</v>
      </c>
      <c r="R9" s="13">
        <f>IF($A9="","",SUMIF(Bowling!$B:$B,$A9,Bowling!$D:$D))
</f>
        <v>0</v>
      </c>
      <c r="S9" s="13">
        <f>IF($A9="","",SUMIF(Bowling!$B:$B,$A9,Bowling!$J:$J))
</f>
        <v>15</v>
      </c>
      <c r="T9" s="13">
        <f>IF($A9="","",SUMIF(Bowling!$B:$B,$A9,Bowling!$K:$K))
</f>
        <v>3</v>
      </c>
      <c r="U9" s="13">
        <f>IF($A9="","",SUMIF(Bowling!$B:$B,$A9,Bowling!$H:$H))
</f>
        <v>6</v>
      </c>
      <c r="V9" s="13">
        <f>IF($A9="","",SUMIF(Bowling!$B:$B,$A9,Bowling!$I:$I))
</f>
        <v>4</v>
      </c>
      <c r="W9" s="13">
        <f>IF($A9="","",SUMIF(Fielding!$B:$B,$A9,Fielding!$C:$C))
</f>
        <v>1</v>
      </c>
      <c r="X9" s="13">
        <f>IF($A9="","",SUMIF(Fielding!$B:$B,$A9,Fielding!$D:$D))
</f>
        <v>0</v>
      </c>
      <c r="Y9" s="13">
        <f>IF($A9="","",SUMIF(Fielding!$B:$B,$A9,Fielding!$E:$E))
</f>
        <v>0</v>
      </c>
    </row>
    <row r="10">
      <c r="A10" s="13" t="str">
        <f>IFERROR(__xludf.DUMMYFUNCTION("""COMPUTED_VALUE"""),"P09")</f>
        <v>P09</v>
      </c>
      <c r="B10" s="13" t="str">
        <f t="array" ref="B10">IF(A10="","",XLOOKUP(A10,Players!A:A,Players!B:B,""))
</f>
        <v>Shivaganesh</v>
      </c>
      <c r="C10" s="13">
        <f>IF(A10="","",
MAX(
  COUNTIF(Batting!B:B,A10),
  COUNTIF(Bowling!B:B,A10),
  COUNTIF(Fielding!B:B,A10)
))
</f>
        <v>9</v>
      </c>
      <c r="D10" s="13">
        <f>IF($A10="","",COUNTIF(Batting!$B:$B,$A10))</f>
        <v>9</v>
      </c>
      <c r="E10" s="13">
        <f>IF($A10="","",COUNTIFS(Batting!$B:$B,$A10,Batting!$G:$G,"No"))
</f>
        <v>2</v>
      </c>
      <c r="F10" s="13">
        <f>IF($A10="","",SUMIF(Batting!$B:$B,$A10,Batting!$C:$C))
</f>
        <v>146</v>
      </c>
      <c r="G10" s="13">
        <f>IF($A10="","",SUMIF(Batting!$B:$B,$A10,Batting!$D:$D))
</f>
        <v>187</v>
      </c>
      <c r="H10" s="13">
        <f>IF($A10="","",SUMIF(Batting!$B:$B,$A10,Batting!$E:$E))
</f>
        <v>17</v>
      </c>
      <c r="I10" s="13">
        <f>IF($A10="","",SUMIF(Batting!$B:$B,$A10,Batting!$F:$F))
</f>
        <v>1</v>
      </c>
      <c r="J10" s="13">
        <f t="shared" si="1"/>
        <v>20.86</v>
      </c>
      <c r="K10" s="13">
        <f t="shared" si="2"/>
        <v>78.07</v>
      </c>
      <c r="L10" s="13">
        <f t="array" ref="L10">IF($A10="","",
SUM(
  IF(Bowling!$B$2:$B1000=$A10,
      (INT(Bowling!$C$2:$C1000)*6) + ROUND((Bowling!$C$2:$C1000-INT(Bowling!$C$2:$C1000))*10,0),
      0
    )
))
</f>
        <v>162</v>
      </c>
      <c r="M10" s="13">
        <f t="shared" si="3"/>
        <v>27</v>
      </c>
      <c r="N10" s="13">
        <f>IF($A10="","",SUMIF(Bowling!$B:$B,$A10,Bowling!$E:$E))
</f>
        <v>209</v>
      </c>
      <c r="O10" s="13">
        <f>IF($A10="","",SUMIF(Bowling!$B:$B,$A10,Bowling!$F:$F))
</f>
        <v>6</v>
      </c>
      <c r="P10" s="13">
        <f t="shared" si="4"/>
        <v>7.74</v>
      </c>
      <c r="Q10" s="13">
        <f>IF($A10="","",SUMIF(Bowling!$B:$B,$A10,Bowling!$G:$G))
</f>
        <v>56</v>
      </c>
      <c r="R10" s="13">
        <f>IF($A10="","",SUMIF(Bowling!$B:$B,$A10,Bowling!$D:$D))
</f>
        <v>0</v>
      </c>
      <c r="S10" s="13">
        <f>IF($A10="","",SUMIF(Bowling!$B:$B,$A10,Bowling!$J:$J))
</f>
        <v>7</v>
      </c>
      <c r="T10" s="13">
        <f>IF($A10="","",SUMIF(Bowling!$B:$B,$A10,Bowling!$K:$K))
</f>
        <v>2</v>
      </c>
      <c r="U10" s="13">
        <f>IF($A10="","",SUMIF(Bowling!$B:$B,$A10,Bowling!$H:$H))
</f>
        <v>21</v>
      </c>
      <c r="V10" s="13">
        <f>IF($A10="","",SUMIF(Bowling!$B:$B,$A10,Bowling!$I:$I))
</f>
        <v>4</v>
      </c>
      <c r="W10" s="13">
        <f>IF($A10="","",SUMIF(Fielding!$B:$B,$A10,Fielding!$C:$C))
</f>
        <v>3</v>
      </c>
      <c r="X10" s="13">
        <f>IF($A10="","",SUMIF(Fielding!$B:$B,$A10,Fielding!$D:$D))
</f>
        <v>0</v>
      </c>
      <c r="Y10" s="13">
        <f>IF($A10="","",SUMIF(Fielding!$B:$B,$A10,Fielding!$E:$E))
</f>
        <v>0</v>
      </c>
    </row>
    <row r="11">
      <c r="A11" s="13" t="str">
        <f>IFERROR(__xludf.DUMMYFUNCTION("""COMPUTED_VALUE"""),"P10")</f>
        <v>P10</v>
      </c>
      <c r="B11" s="13" t="str">
        <f t="array" ref="B11">IF(A11="","",XLOOKUP(A11,Players!A:A,Players!B:B,""))
</f>
        <v>Tharun M</v>
      </c>
      <c r="C11" s="13">
        <f>IF(A11="","",
MAX(
  COUNTIF(Batting!B:B,A11),
  COUNTIF(Bowling!B:B,A11),
  COUNTIF(Fielding!B:B,A11)
))
</f>
        <v>5</v>
      </c>
      <c r="D11" s="13">
        <f>IF($A11="","",COUNTIF(Batting!$B:$B,$A11))</f>
        <v>5</v>
      </c>
      <c r="E11" s="13">
        <f>IF($A11="","",COUNTIFS(Batting!$B:$B,$A11,Batting!$G:$G,"No"))
</f>
        <v>0</v>
      </c>
      <c r="F11" s="13">
        <f>IF($A11="","",SUMIF(Batting!$B:$B,$A11,Batting!$C:$C))
</f>
        <v>20</v>
      </c>
      <c r="G11" s="13">
        <f>IF($A11="","",SUMIF(Batting!$B:$B,$A11,Batting!$D:$D))
</f>
        <v>24</v>
      </c>
      <c r="H11" s="13">
        <f>IF($A11="","",SUMIF(Batting!$B:$B,$A11,Batting!$E:$E))
</f>
        <v>1</v>
      </c>
      <c r="I11" s="13">
        <f>IF($A11="","",SUMIF(Batting!$B:$B,$A11,Batting!$F:$F))
</f>
        <v>0</v>
      </c>
      <c r="J11" s="13">
        <f t="shared" si="1"/>
        <v>4</v>
      </c>
      <c r="K11" s="13">
        <f t="shared" si="2"/>
        <v>83.33</v>
      </c>
      <c r="L11" s="13">
        <f t="array" ref="L11">IF($A11="","",
SUM(
  IF(Bowling!$B$2:$B1000=$A11,
      (INT(Bowling!$C$2:$C1000)*6) + ROUND((Bowling!$C$2:$C1000-INT(Bowling!$C$2:$C1000))*10,0),
      0
    )
))
</f>
        <v>0</v>
      </c>
      <c r="M11" s="13">
        <f t="shared" si="3"/>
        <v>0</v>
      </c>
      <c r="N11" s="13">
        <f>IF($A11="","",SUMIF(Bowling!$B:$B,$A11,Bowling!$E:$E))
</f>
        <v>0</v>
      </c>
      <c r="O11" s="13">
        <f>IF($A11="","",SUMIF(Bowling!$B:$B,$A11,Bowling!$F:$F))
</f>
        <v>0</v>
      </c>
      <c r="P11" s="13">
        <f t="shared" si="4"/>
        <v>0</v>
      </c>
      <c r="Q11" s="13">
        <f>IF($A11="","",SUMIF(Bowling!$B:$B,$A11,Bowling!$G:$G))
</f>
        <v>0</v>
      </c>
      <c r="R11" s="13">
        <f>IF($A11="","",SUMIF(Bowling!$B:$B,$A11,Bowling!$D:$D))
</f>
        <v>0</v>
      </c>
      <c r="S11" s="13">
        <f>IF($A11="","",SUMIF(Bowling!$B:$B,$A11,Bowling!$J:$J))
</f>
        <v>0</v>
      </c>
      <c r="T11" s="13">
        <f>IF($A11="","",SUMIF(Bowling!$B:$B,$A11,Bowling!$K:$K))
</f>
        <v>0</v>
      </c>
      <c r="U11" s="13">
        <f>IF($A11="","",SUMIF(Bowling!$B:$B,$A11,Bowling!$H:$H))
</f>
        <v>0</v>
      </c>
      <c r="V11" s="13">
        <f>IF($A11="","",SUMIF(Bowling!$B:$B,$A11,Bowling!$I:$I))
</f>
        <v>0</v>
      </c>
      <c r="W11" s="13">
        <f>IF($A11="","",SUMIF(Fielding!$B:$B,$A11,Fielding!$C:$C))
</f>
        <v>1</v>
      </c>
      <c r="X11" s="13">
        <f>IF($A11="","",SUMIF(Fielding!$B:$B,$A11,Fielding!$D:$D))
</f>
        <v>0</v>
      </c>
      <c r="Y11" s="13">
        <f>IF($A11="","",SUMIF(Fielding!$B:$B,$A11,Fielding!$E:$E))
</f>
        <v>1</v>
      </c>
    </row>
    <row r="12">
      <c r="A12" s="13" t="str">
        <f>IFERROR(__xludf.DUMMYFUNCTION("""COMPUTED_VALUE"""),"P11")</f>
        <v>P11</v>
      </c>
      <c r="B12" s="13" t="str">
        <f t="array" ref="B12">IF(A12="","",XLOOKUP(A12,Players!A:A,Players!B:B,""))
</f>
        <v>Vikram</v>
      </c>
      <c r="C12" s="13">
        <f>IF(A12="","",
MAX(
  COUNTIF(Batting!B:B,A12),
  COUNTIF(Bowling!B:B,A12),
  COUNTIF(Fielding!B:B,A12)
))
</f>
        <v>2</v>
      </c>
      <c r="D12" s="13">
        <f>IF($A12="","",COUNTIF(Batting!$B:$B,$A12))</f>
        <v>2</v>
      </c>
      <c r="E12" s="13">
        <f>IF($A12="","",COUNTIFS(Batting!$B:$B,$A12,Batting!$G:$G,"No"))
</f>
        <v>0</v>
      </c>
      <c r="F12" s="13">
        <f>IF($A12="","",SUMIF(Batting!$B:$B,$A12,Batting!$C:$C))
</f>
        <v>0</v>
      </c>
      <c r="G12" s="13">
        <f>IF($A12="","",SUMIF(Batting!$B:$B,$A12,Batting!$D:$D))
</f>
        <v>2</v>
      </c>
      <c r="H12" s="13">
        <f>IF($A12="","",SUMIF(Batting!$B:$B,$A12,Batting!$E:$E))
</f>
        <v>0</v>
      </c>
      <c r="I12" s="13">
        <f>IF($A12="","",SUMIF(Batting!$B:$B,$A12,Batting!$F:$F))
</f>
        <v>0</v>
      </c>
      <c r="J12" s="13">
        <f t="shared" si="1"/>
        <v>0</v>
      </c>
      <c r="K12" s="13">
        <f t="shared" si="2"/>
        <v>0</v>
      </c>
      <c r="L12" s="13">
        <f t="array" ref="L12">IF($A12="","",
SUM(
  IF(Bowling!$B$2:$B1000=$A12,
      (INT(Bowling!$C$2:$C1000)*6) + ROUND((Bowling!$C$2:$C1000-INT(Bowling!$C$2:$C1000))*10,0),
      0
    )
))
</f>
        <v>24</v>
      </c>
      <c r="M12" s="13">
        <f t="shared" si="3"/>
        <v>4</v>
      </c>
      <c r="N12" s="13">
        <f>IF($A12="","",SUMIF(Bowling!$B:$B,$A12,Bowling!$E:$E))
</f>
        <v>34</v>
      </c>
      <c r="O12" s="13">
        <f>IF($A12="","",SUMIF(Bowling!$B:$B,$A12,Bowling!$F:$F))
</f>
        <v>1</v>
      </c>
      <c r="P12" s="13">
        <f t="shared" si="4"/>
        <v>8.5</v>
      </c>
      <c r="Q12" s="13">
        <f>IF($A12="","",SUMIF(Bowling!$B:$B,$A12,Bowling!$G:$G))
</f>
        <v>12</v>
      </c>
      <c r="R12" s="13">
        <f>IF($A12="","",SUMIF(Bowling!$B:$B,$A12,Bowling!$D:$D))
</f>
        <v>0</v>
      </c>
      <c r="S12" s="13">
        <f>IF($A12="","",SUMIF(Bowling!$B:$B,$A12,Bowling!$J:$J))
</f>
        <v>8</v>
      </c>
      <c r="T12" s="13">
        <f>IF($A12="","",SUMIF(Bowling!$B:$B,$A12,Bowling!$K:$K))
</f>
        <v>3</v>
      </c>
      <c r="U12" s="13">
        <f>IF($A12="","",SUMIF(Bowling!$B:$B,$A12,Bowling!$H:$H))
</f>
        <v>2</v>
      </c>
      <c r="V12" s="13">
        <f>IF($A12="","",SUMIF(Bowling!$B:$B,$A12,Bowling!$I:$I))
</f>
        <v>0</v>
      </c>
      <c r="W12" s="13">
        <f>IF($A12="","",SUMIF(Fielding!$B:$B,$A12,Fielding!$C:$C))
</f>
        <v>0</v>
      </c>
      <c r="X12" s="13">
        <f>IF($A12="","",SUMIF(Fielding!$B:$B,$A12,Fielding!$D:$D))
</f>
        <v>0</v>
      </c>
      <c r="Y12" s="13">
        <f>IF($A12="","",SUMIF(Fielding!$B:$B,$A12,Fielding!$E:$E))
</f>
        <v>0</v>
      </c>
    </row>
    <row r="13">
      <c r="A13" s="13" t="str">
        <f>IFERROR(__xludf.DUMMYFUNCTION("""COMPUTED_VALUE"""),"P12")</f>
        <v>P12</v>
      </c>
      <c r="B13" s="13" t="str">
        <f t="array" ref="B13">IF(A13="","",XLOOKUP(A13,Players!A:A,Players!B:B,""))
</f>
        <v>Mukundhan S
</v>
      </c>
      <c r="C13" s="13">
        <f>IF(A13="","",
MAX(
  COUNTIF(Batting!B:B,A13),
  COUNTIF(Bowling!B:B,A13),
  COUNTIF(Fielding!B:B,A13)
))
</f>
        <v>1</v>
      </c>
      <c r="D13" s="13">
        <f>IF($A13="","",COUNTIF(Batting!$B:$B,$A13))</f>
        <v>1</v>
      </c>
      <c r="E13" s="13">
        <f>IF($A13="","",COUNTIFS(Batting!$B:$B,$A13,Batting!$G:$G,"No"))
</f>
        <v>0</v>
      </c>
      <c r="F13" s="13">
        <f>IF($A13="","",SUMIF(Batting!$B:$B,$A13,Batting!$C:$C))
</f>
        <v>1</v>
      </c>
      <c r="G13" s="13">
        <f>IF($A13="","",SUMIF(Batting!$B:$B,$A13,Batting!$D:$D))
</f>
        <v>5</v>
      </c>
      <c r="H13" s="13">
        <f>IF($A13="","",SUMIF(Batting!$B:$B,$A13,Batting!$E:$E))
</f>
        <v>0</v>
      </c>
      <c r="I13" s="13">
        <f>IF($A13="","",SUMIF(Batting!$B:$B,$A13,Batting!$F:$F))
</f>
        <v>0</v>
      </c>
      <c r="J13" s="13">
        <f t="shared" si="1"/>
        <v>1</v>
      </c>
      <c r="K13" s="13">
        <f t="shared" si="2"/>
        <v>20</v>
      </c>
      <c r="L13" s="13">
        <f t="array" ref="L13">IF($A13="","",
SUM(
  IF(Bowling!$B$2:$B1000=$A13,
      (INT(Bowling!$C$2:$C1000)*6) + ROUND((Bowling!$C$2:$C1000-INT(Bowling!$C$2:$C1000))*10,0),
      0
    )
))
</f>
        <v>0</v>
      </c>
      <c r="M13" s="13">
        <f t="shared" si="3"/>
        <v>0</v>
      </c>
      <c r="N13" s="13">
        <f>IF($A13="","",SUMIF(Bowling!$B:$B,$A13,Bowling!$E:$E))
</f>
        <v>0</v>
      </c>
      <c r="O13" s="13">
        <f>IF($A13="","",SUMIF(Bowling!$B:$B,$A13,Bowling!$F:$F))
</f>
        <v>0</v>
      </c>
      <c r="P13" s="13">
        <f t="shared" si="4"/>
        <v>0</v>
      </c>
      <c r="Q13" s="13">
        <f>IF($A13="","",SUMIF(Bowling!$B:$B,$A13,Bowling!$G:$G))
</f>
        <v>0</v>
      </c>
      <c r="R13" s="13">
        <f>IF($A13="","",SUMIF(Bowling!$B:$B,$A13,Bowling!$D:$D))
</f>
        <v>0</v>
      </c>
      <c r="S13" s="13">
        <f>IF($A13="","",SUMIF(Bowling!$B:$B,$A13,Bowling!$J:$J))
</f>
        <v>0</v>
      </c>
      <c r="T13" s="13">
        <f>IF($A13="","",SUMIF(Bowling!$B:$B,$A13,Bowling!$K:$K))
</f>
        <v>0</v>
      </c>
      <c r="U13" s="13">
        <f>IF($A13="","",SUMIF(Bowling!$B:$B,$A13,Bowling!$H:$H))
</f>
        <v>0</v>
      </c>
      <c r="V13" s="13">
        <f>IF($A13="","",SUMIF(Bowling!$B:$B,$A13,Bowling!$I:$I))
</f>
        <v>0</v>
      </c>
      <c r="W13" s="13">
        <f>IF($A13="","",SUMIF(Fielding!$B:$B,$A13,Fielding!$C:$C))
</f>
        <v>0</v>
      </c>
      <c r="X13" s="13">
        <f>IF($A13="","",SUMIF(Fielding!$B:$B,$A13,Fielding!$D:$D))
</f>
        <v>0</v>
      </c>
      <c r="Y13" s="13">
        <f>IF($A13="","",SUMIF(Fielding!$B:$B,$A13,Fielding!$E:$E))
</f>
        <v>0</v>
      </c>
    </row>
    <row r="14">
      <c r="A14" s="13" t="str">
        <f>IFERROR(__xludf.DUMMYFUNCTION("""COMPUTED_VALUE"""),"P13")</f>
        <v>P13</v>
      </c>
      <c r="B14" s="13" t="str">
        <f t="array" ref="B14">IF(A14="","",XLOOKUP(A14,Players!A:A,Players!B:B,""))
</f>
        <v>Padhu</v>
      </c>
      <c r="C14" s="13">
        <f>IF(A14="","",
MAX(
  COUNTIF(Batting!B:B,A14),
  COUNTIF(Bowling!B:B,A14),
  COUNTIF(Fielding!B:B,A14)
))
</f>
        <v>3</v>
      </c>
      <c r="D14" s="13">
        <f>IF($A14="","",COUNTIF(Batting!$B:$B,$A14))</f>
        <v>3</v>
      </c>
      <c r="E14" s="13">
        <f>IF($A14="","",COUNTIFS(Batting!$B:$B,$A14,Batting!$G:$G,"No"))
</f>
        <v>0</v>
      </c>
      <c r="F14" s="13">
        <f>IF($A14="","",SUMIF(Batting!$B:$B,$A14,Batting!$C:$C))
</f>
        <v>41</v>
      </c>
      <c r="G14" s="13">
        <f>IF($A14="","",SUMIF(Batting!$B:$B,$A14,Batting!$D:$D))
</f>
        <v>36</v>
      </c>
      <c r="H14" s="13">
        <f>IF($A14="","",SUMIF(Batting!$B:$B,$A14,Batting!$E:$E))
</f>
        <v>6</v>
      </c>
      <c r="I14" s="13">
        <f>IF($A14="","",SUMIF(Batting!$B:$B,$A14,Batting!$F:$F))
</f>
        <v>0</v>
      </c>
      <c r="J14" s="13">
        <f t="shared" si="1"/>
        <v>13.67</v>
      </c>
      <c r="K14" s="13">
        <f t="shared" si="2"/>
        <v>113.89</v>
      </c>
      <c r="L14" s="13">
        <f t="array" ref="L14">IF($A14="","",
SUM(
  IF(Bowling!$B$2:$B1000=$A14,
      (INT(Bowling!$C$2:$C1000)*6) + ROUND((Bowling!$C$2:$C1000-INT(Bowling!$C$2:$C1000))*10,0),
      0
    )
))
</f>
        <v>48</v>
      </c>
      <c r="M14" s="13">
        <f t="shared" si="3"/>
        <v>8</v>
      </c>
      <c r="N14" s="13">
        <f>IF($A14="","",SUMIF(Bowling!$B:$B,$A14,Bowling!$E:$E))
</f>
        <v>59</v>
      </c>
      <c r="O14" s="13">
        <f>IF($A14="","",SUMIF(Bowling!$B:$B,$A14,Bowling!$F:$F))
</f>
        <v>1</v>
      </c>
      <c r="P14" s="13">
        <f t="shared" si="4"/>
        <v>7.38</v>
      </c>
      <c r="Q14" s="13">
        <f>IF($A14="","",SUMIF(Bowling!$B:$B,$A14,Bowling!$G:$G))
</f>
        <v>20</v>
      </c>
      <c r="R14" s="13">
        <f>IF($A14="","",SUMIF(Bowling!$B:$B,$A14,Bowling!$D:$D))
</f>
        <v>1</v>
      </c>
      <c r="S14" s="13">
        <f>IF($A14="","",SUMIF(Bowling!$B:$B,$A14,Bowling!$J:$J))
</f>
        <v>12</v>
      </c>
      <c r="T14" s="13">
        <f>IF($A14="","",SUMIF(Bowling!$B:$B,$A14,Bowling!$K:$K))
</f>
        <v>1</v>
      </c>
      <c r="U14" s="13">
        <f>IF($A14="","",SUMIF(Bowling!$B:$B,$A14,Bowling!$H:$H))
</f>
        <v>2</v>
      </c>
      <c r="V14" s="13">
        <f>IF($A14="","",SUMIF(Bowling!$B:$B,$A14,Bowling!$I:$I))
</f>
        <v>1</v>
      </c>
      <c r="W14" s="13">
        <f>IF($A14="","",SUMIF(Fielding!$B:$B,$A14,Fielding!$C:$C))
</f>
        <v>0</v>
      </c>
      <c r="X14" s="13">
        <f>IF($A14="","",SUMIF(Fielding!$B:$B,$A14,Fielding!$D:$D))
</f>
        <v>0</v>
      </c>
      <c r="Y14" s="13">
        <f>IF($A14="","",SUMIF(Fielding!$B:$B,$A14,Fielding!$E:$E))
</f>
        <v>0</v>
      </c>
    </row>
    <row r="15">
      <c r="A15" s="13" t="str">
        <f>IFERROR(__xludf.DUMMYFUNCTION("""COMPUTED_VALUE"""),"P14")</f>
        <v>P14</v>
      </c>
      <c r="B15" s="13" t="str">
        <f t="array" ref="B15">IF(A15="","",XLOOKUP(A15,Players!A:A,Players!B:B,""))
</f>
        <v>Ravi Shankar</v>
      </c>
      <c r="C15" s="13">
        <f>IF(A15="","",
MAX(
  COUNTIF(Batting!B:B,A15),
  COUNTIF(Bowling!B:B,A15),
  COUNTIF(Fielding!B:B,A15)
))
</f>
        <v>8</v>
      </c>
      <c r="D15" s="13">
        <f>IF($A15="","",COUNTIF(Batting!$B:$B,$A15))</f>
        <v>6</v>
      </c>
      <c r="E15" s="13">
        <f>IF($A15="","",COUNTIFS(Batting!$B:$B,$A15,Batting!$G:$G,"No"))
</f>
        <v>4</v>
      </c>
      <c r="F15" s="13">
        <f>IF($A15="","",SUMIF(Batting!$B:$B,$A15,Batting!$C:$C))
</f>
        <v>11</v>
      </c>
      <c r="G15" s="13">
        <f>IF($A15="","",SUMIF(Batting!$B:$B,$A15,Batting!$D:$D))
</f>
        <v>24</v>
      </c>
      <c r="H15" s="13">
        <f>IF($A15="","",SUMIF(Batting!$B:$B,$A15,Batting!$E:$E))
</f>
        <v>0</v>
      </c>
      <c r="I15" s="13">
        <f>IF($A15="","",SUMIF(Batting!$B:$B,$A15,Batting!$F:$F))
</f>
        <v>0</v>
      </c>
      <c r="J15" s="13">
        <f t="shared" si="1"/>
        <v>5.5</v>
      </c>
      <c r="K15" s="13">
        <f t="shared" si="2"/>
        <v>45.83</v>
      </c>
      <c r="L15" s="13">
        <f t="array" ref="L15">IF($A15="","",
SUM(
  IF(Bowling!$B$2:$B1000=$A15,
      (INT(Bowling!$C$2:$C1000)*6) + ROUND((Bowling!$C$2:$C1000-INT(Bowling!$C$2:$C1000))*10,0),
      0
    )
))
</f>
        <v>179</v>
      </c>
      <c r="M15" s="13">
        <f t="shared" si="3"/>
        <v>29.5</v>
      </c>
      <c r="N15" s="13">
        <f>IF($A15="","",SUMIF(Bowling!$B:$B,$A15,Bowling!$E:$E))
</f>
        <v>232</v>
      </c>
      <c r="O15" s="13">
        <f>IF($A15="","",SUMIF(Bowling!$B:$B,$A15,Bowling!$F:$F))
</f>
        <v>11</v>
      </c>
      <c r="P15" s="13">
        <f t="shared" si="4"/>
        <v>7.78</v>
      </c>
      <c r="Q15" s="13">
        <f>IF($A15="","",SUMIF(Bowling!$B:$B,$A15,Bowling!$G:$G))
</f>
        <v>89</v>
      </c>
      <c r="R15" s="13">
        <f>IF($A15="","",SUMIF(Bowling!$B:$B,$A15,Bowling!$D:$D))
</f>
        <v>1</v>
      </c>
      <c r="S15" s="13">
        <f>IF($A15="","",SUMIF(Bowling!$B:$B,$A15,Bowling!$J:$J))
</f>
        <v>34</v>
      </c>
      <c r="T15" s="13">
        <f>IF($A15="","",SUMIF(Bowling!$B:$B,$A15,Bowling!$K:$K))
</f>
        <v>2</v>
      </c>
      <c r="U15" s="13">
        <f>IF($A15="","",SUMIF(Bowling!$B:$B,$A15,Bowling!$H:$H))
</f>
        <v>20</v>
      </c>
      <c r="V15" s="13">
        <f>IF($A15="","",SUMIF(Bowling!$B:$B,$A15,Bowling!$I:$I))
</f>
        <v>2</v>
      </c>
      <c r="W15" s="13">
        <f>IF($A15="","",SUMIF(Fielding!$B:$B,$A15,Fielding!$C:$C))
</f>
        <v>0</v>
      </c>
      <c r="X15" s="13">
        <f>IF($A15="","",SUMIF(Fielding!$B:$B,$A15,Fielding!$D:$D))
</f>
        <v>1</v>
      </c>
      <c r="Y15" s="13">
        <f>IF($A15="","",SUMIF(Fielding!$B:$B,$A15,Fielding!$E:$E))
</f>
        <v>0</v>
      </c>
    </row>
    <row r="16">
      <c r="A16" s="13" t="str">
        <f>IFERROR(__xludf.DUMMYFUNCTION("""COMPUTED_VALUE"""),"P15")</f>
        <v>P15</v>
      </c>
      <c r="B16" s="13" t="str">
        <f t="array" ref="B16">IF(A16="","",XLOOKUP(A16,Players!A:A,Players!B:B,""))
</f>
        <v>Mahesh</v>
      </c>
      <c r="C16" s="13">
        <f>IF(A16="","",
MAX(
  COUNTIF(Batting!B:B,A16),
  COUNTIF(Bowling!B:B,A16),
  COUNTIF(Fielding!B:B,A16)
))
</f>
        <v>2</v>
      </c>
      <c r="D16" s="13">
        <f>IF($A16="","",COUNTIF(Batting!$B:$B,$A16))</f>
        <v>2</v>
      </c>
      <c r="E16" s="13">
        <f>IF($A16="","",COUNTIFS(Batting!$B:$B,$A16,Batting!$G:$G,"No"))
</f>
        <v>0</v>
      </c>
      <c r="F16" s="13">
        <f>IF($A16="","",SUMIF(Batting!$B:$B,$A16,Batting!$C:$C))
</f>
        <v>0</v>
      </c>
      <c r="G16" s="13">
        <f>IF($A16="","",SUMIF(Batting!$B:$B,$A16,Batting!$D:$D))
</f>
        <v>2</v>
      </c>
      <c r="H16" s="13">
        <f>IF($A16="","",SUMIF(Batting!$B:$B,$A16,Batting!$E:$E))
</f>
        <v>0</v>
      </c>
      <c r="I16" s="13">
        <f>IF($A16="","",SUMIF(Batting!$B:$B,$A16,Batting!$F:$F))
</f>
        <v>0</v>
      </c>
      <c r="J16" s="13">
        <f t="shared" si="1"/>
        <v>0</v>
      </c>
      <c r="K16" s="13">
        <f t="shared" si="2"/>
        <v>0</v>
      </c>
      <c r="L16" s="13">
        <f t="array" ref="L16">IF($A16="","",
SUM(
  IF(Bowling!$B$2:$B1000=$A16,
      (INT(Bowling!$C$2:$C1000)*6) + ROUND((Bowling!$C$2:$C1000-INT(Bowling!$C$2:$C1000))*10,0),
      0
    )
))
</f>
        <v>18</v>
      </c>
      <c r="M16" s="13">
        <f t="shared" si="3"/>
        <v>3</v>
      </c>
      <c r="N16" s="13">
        <f>IF($A16="","",SUMIF(Bowling!$B:$B,$A16,Bowling!$E:$E))
</f>
        <v>28</v>
      </c>
      <c r="O16" s="13">
        <f>IF($A16="","",SUMIF(Bowling!$B:$B,$A16,Bowling!$F:$F))
</f>
        <v>1</v>
      </c>
      <c r="P16" s="13">
        <f t="shared" si="4"/>
        <v>9.33</v>
      </c>
      <c r="Q16" s="13">
        <f>IF($A16="","",SUMIF(Bowling!$B:$B,$A16,Bowling!$G:$G))
</f>
        <v>9</v>
      </c>
      <c r="R16" s="13">
        <f>IF($A16="","",SUMIF(Bowling!$B:$B,$A16,Bowling!$D:$D))
</f>
        <v>0</v>
      </c>
      <c r="S16" s="13">
        <f>IF($A16="","",SUMIF(Bowling!$B:$B,$A16,Bowling!$J:$J))
</f>
        <v>9</v>
      </c>
      <c r="T16" s="13">
        <f>IF($A16="","",SUMIF(Bowling!$B:$B,$A16,Bowling!$K:$K))
</f>
        <v>2</v>
      </c>
      <c r="U16" s="13">
        <f>IF($A16="","",SUMIF(Bowling!$B:$B,$A16,Bowling!$H:$H))
</f>
        <v>2</v>
      </c>
      <c r="V16" s="13">
        <f>IF($A16="","",SUMIF(Bowling!$B:$B,$A16,Bowling!$I:$I))
</f>
        <v>0</v>
      </c>
      <c r="W16" s="13">
        <f>IF($A16="","",SUMIF(Fielding!$B:$B,$A16,Fielding!$C:$C))
</f>
        <v>1</v>
      </c>
      <c r="X16" s="13">
        <f>IF($A16="","",SUMIF(Fielding!$B:$B,$A16,Fielding!$D:$D))
</f>
        <v>0</v>
      </c>
      <c r="Y16" s="13">
        <f>IF($A16="","",SUMIF(Fielding!$B:$B,$A16,Fielding!$E:$E))
</f>
        <v>0</v>
      </c>
    </row>
    <row r="17">
      <c r="A17" s="13" t="str">
        <f>IFERROR(__xludf.DUMMYFUNCTION("""COMPUTED_VALUE"""),"P16")</f>
        <v>P16</v>
      </c>
      <c r="B17" s="13" t="str">
        <f t="array" ref="B17">IF(A17="","",XLOOKUP(A17,Players!A:A,Players!B:B,""))
</f>
        <v>Vivek</v>
      </c>
      <c r="C17" s="13">
        <f>IF(A17="","",
MAX(
  COUNTIF(Batting!B:B,A17),
  COUNTIF(Bowling!B:B,A17),
  COUNTIF(Fielding!B:B,A17)
))
</f>
        <v>5</v>
      </c>
      <c r="D17" s="13">
        <f>IF($A17="","",COUNTIF(Batting!$B:$B,$A17))</f>
        <v>5</v>
      </c>
      <c r="E17" s="13">
        <f>IF($A17="","",COUNTIFS(Batting!$B:$B,$A17,Batting!$G:$G,"No"))
</f>
        <v>0</v>
      </c>
      <c r="F17" s="13">
        <f>IF($A17="","",SUMIF(Batting!$B:$B,$A17,Batting!$C:$C))
</f>
        <v>34</v>
      </c>
      <c r="G17" s="13">
        <f>IF($A17="","",SUMIF(Batting!$B:$B,$A17,Batting!$D:$D))
</f>
        <v>73</v>
      </c>
      <c r="H17" s="13">
        <f>IF($A17="","",SUMIF(Batting!$B:$B,$A17,Batting!$E:$E))
</f>
        <v>11</v>
      </c>
      <c r="I17" s="13">
        <f>IF($A17="","",SUMIF(Batting!$B:$B,$A17,Batting!$F:$F))
</f>
        <v>9</v>
      </c>
      <c r="J17" s="13">
        <f t="shared" si="1"/>
        <v>6.8</v>
      </c>
      <c r="K17" s="13">
        <f t="shared" si="2"/>
        <v>46.58</v>
      </c>
      <c r="L17" s="13">
        <f t="array" ref="L17">IF($A17="","",
SUM(
  IF(Bowling!$B$2:$B1000=$A17,
      (INT(Bowling!$C$2:$C1000)*6) + ROUND((Bowling!$C$2:$C1000-INT(Bowling!$C$2:$C1000))*10,0),
      0
    )
))
</f>
        <v>0</v>
      </c>
      <c r="M17" s="13">
        <f t="shared" si="3"/>
        <v>0</v>
      </c>
      <c r="N17" s="13">
        <f>IF($A17="","",SUMIF(Bowling!$B:$B,$A17,Bowling!$E:$E))
</f>
        <v>0</v>
      </c>
      <c r="O17" s="13">
        <f>IF($A17="","",SUMIF(Bowling!$B:$B,$A17,Bowling!$F:$F))
</f>
        <v>0</v>
      </c>
      <c r="P17" s="13">
        <f t="shared" si="4"/>
        <v>0</v>
      </c>
      <c r="Q17" s="13">
        <f>IF($A17="","",SUMIF(Bowling!$B:$B,$A17,Bowling!$G:$G))
</f>
        <v>0</v>
      </c>
      <c r="R17" s="13">
        <f>IF($A17="","",SUMIF(Bowling!$B:$B,$A17,Bowling!$D:$D))
</f>
        <v>0</v>
      </c>
      <c r="S17" s="13">
        <f>IF($A17="","",SUMIF(Bowling!$B:$B,$A17,Bowling!$J:$J))
</f>
        <v>0</v>
      </c>
      <c r="T17" s="13">
        <f>IF($A17="","",SUMIF(Bowling!$B:$B,$A17,Bowling!$K:$K))
</f>
        <v>0</v>
      </c>
      <c r="U17" s="13">
        <f>IF($A17="","",SUMIF(Bowling!$B:$B,$A17,Bowling!$H:$H))
</f>
        <v>0</v>
      </c>
      <c r="V17" s="13">
        <f>IF($A17="","",SUMIF(Bowling!$B:$B,$A17,Bowling!$I:$I))
</f>
        <v>0</v>
      </c>
      <c r="W17" s="13">
        <f>IF($A17="","",SUMIF(Fielding!$B:$B,$A17,Fielding!$C:$C))
</f>
        <v>1</v>
      </c>
      <c r="X17" s="13">
        <f>IF($A17="","",SUMIF(Fielding!$B:$B,$A17,Fielding!$D:$D))
</f>
        <v>0</v>
      </c>
      <c r="Y17" s="13">
        <f>IF($A17="","",SUMIF(Fielding!$B:$B,$A17,Fielding!$E:$E))
</f>
        <v>0</v>
      </c>
    </row>
    <row r="18">
      <c r="A18" s="13" t="str">
        <f>IFERROR(__xludf.DUMMYFUNCTION("""COMPUTED_VALUE"""),"P17")</f>
        <v>P17</v>
      </c>
      <c r="B18" s="13" t="str">
        <f t="array" ref="B18">IF(A18="","",XLOOKUP(A18,Players!A:A,Players!B:B,""))
</f>
        <v>Ahil</v>
      </c>
      <c r="C18" s="13">
        <f>IF(A18="","",
MAX(
  COUNTIF(Batting!B:B,A18),
  COUNTIF(Bowling!B:B,A18),
  COUNTIF(Fielding!B:B,A18)
))
</f>
        <v>2</v>
      </c>
      <c r="D18" s="13">
        <f>IF($A18="","",COUNTIF(Batting!$B:$B,$A18))</f>
        <v>2</v>
      </c>
      <c r="E18" s="13">
        <f>IF($A18="","",COUNTIFS(Batting!$B:$B,$A18,Batting!$G:$G,"No"))
</f>
        <v>0</v>
      </c>
      <c r="F18" s="13">
        <f>IF($A18="","",SUMIF(Batting!$B:$B,$A18,Batting!$C:$C))
</f>
        <v>26</v>
      </c>
      <c r="G18" s="13">
        <f>IF($A18="","",SUMIF(Batting!$B:$B,$A18,Batting!$D:$D))
</f>
        <v>22</v>
      </c>
      <c r="H18" s="13">
        <f>IF($A18="","",SUMIF(Batting!$B:$B,$A18,Batting!$E:$E))
</f>
        <v>2</v>
      </c>
      <c r="I18" s="13">
        <f>IF($A18="","",SUMIF(Batting!$B:$B,$A18,Batting!$F:$F))
</f>
        <v>2</v>
      </c>
      <c r="J18" s="13">
        <f t="shared" si="1"/>
        <v>13</v>
      </c>
      <c r="K18" s="13">
        <f t="shared" si="2"/>
        <v>118.18</v>
      </c>
      <c r="L18" s="13">
        <f t="array" ref="L18">IF($A18="","",
SUM(
  IF(Bowling!$B$2:$B1000=$A18,
      (INT(Bowling!$C$2:$C1000)*6) + ROUND((Bowling!$C$2:$C1000-INT(Bowling!$C$2:$C1000))*10,0),
      0
    )
))
</f>
        <v>0</v>
      </c>
      <c r="M18" s="13">
        <f t="shared" si="3"/>
        <v>0</v>
      </c>
      <c r="N18" s="13">
        <f>IF($A18="","",SUMIF(Bowling!$B:$B,$A18,Bowling!$E:$E))
</f>
        <v>0</v>
      </c>
      <c r="O18" s="13">
        <f>IF($A18="","",SUMIF(Bowling!$B:$B,$A18,Bowling!$F:$F))
</f>
        <v>0</v>
      </c>
      <c r="P18" s="13">
        <f t="shared" si="4"/>
        <v>0</v>
      </c>
      <c r="Q18" s="13">
        <f>IF($A18="","",SUMIF(Bowling!$B:$B,$A18,Bowling!$G:$G))
</f>
        <v>0</v>
      </c>
      <c r="R18" s="13">
        <f>IF($A18="","",SUMIF(Bowling!$B:$B,$A18,Bowling!$D:$D))
</f>
        <v>0</v>
      </c>
      <c r="S18" s="13">
        <f>IF($A18="","",SUMIF(Bowling!$B:$B,$A18,Bowling!$J:$J))
</f>
        <v>0</v>
      </c>
      <c r="T18" s="13">
        <f>IF($A18="","",SUMIF(Bowling!$B:$B,$A18,Bowling!$K:$K))
</f>
        <v>0</v>
      </c>
      <c r="U18" s="13">
        <f>IF($A18="","",SUMIF(Bowling!$B:$B,$A18,Bowling!$H:$H))
</f>
        <v>0</v>
      </c>
      <c r="V18" s="13">
        <f>IF($A18="","",SUMIF(Bowling!$B:$B,$A18,Bowling!$I:$I))
</f>
        <v>0</v>
      </c>
      <c r="W18" s="13">
        <f>IF($A18="","",SUMIF(Fielding!$B:$B,$A18,Fielding!$C:$C))
</f>
        <v>0</v>
      </c>
      <c r="X18" s="13">
        <f>IF($A18="","",SUMIF(Fielding!$B:$B,$A18,Fielding!$D:$D))
</f>
        <v>0</v>
      </c>
      <c r="Y18" s="13">
        <f>IF($A18="","",SUMIF(Fielding!$B:$B,$A18,Fielding!$E:$E))
</f>
        <v>0</v>
      </c>
    </row>
    <row r="19">
      <c r="A19" s="13" t="str">
        <f>IFERROR(__xludf.DUMMYFUNCTION("""COMPUTED_VALUE"""),"P18")</f>
        <v>P18</v>
      </c>
      <c r="B19" s="13" t="str">
        <f t="array" ref="B19">IF(A19="","",XLOOKUP(A19,Players!A:A,Players!B:B,""))
</f>
        <v>Bhuvaneshvaran A</v>
      </c>
      <c r="C19" s="13">
        <f>IF(A19="","",
MAX(
  COUNTIF(Batting!B:B,A19),
  COUNTIF(Bowling!B:B,A19),
  COUNTIF(Fielding!B:B,A19)
))
</f>
        <v>4</v>
      </c>
      <c r="D19" s="13">
        <f>IF($A19="","",COUNTIF(Batting!$B:$B,$A19))</f>
        <v>4</v>
      </c>
      <c r="E19" s="13">
        <f>IF($A19="","",COUNTIFS(Batting!$B:$B,$A19,Batting!$G:$G,"No"))
</f>
        <v>0</v>
      </c>
      <c r="F19" s="13">
        <f>IF($A19="","",SUMIF(Batting!$B:$B,$A19,Batting!$C:$C))
</f>
        <v>53</v>
      </c>
      <c r="G19" s="13">
        <f>IF($A19="","",SUMIF(Batting!$B:$B,$A19,Batting!$D:$D))
</f>
        <v>70</v>
      </c>
      <c r="H19" s="13">
        <f>IF($A19="","",SUMIF(Batting!$B:$B,$A19,Batting!$E:$E))
</f>
        <v>4</v>
      </c>
      <c r="I19" s="13">
        <f>IF($A19="","",SUMIF(Batting!$B:$B,$A19,Batting!$F:$F))
</f>
        <v>1</v>
      </c>
      <c r="J19" s="13">
        <f t="shared" si="1"/>
        <v>13.25</v>
      </c>
      <c r="K19" s="13">
        <f t="shared" si="2"/>
        <v>75.71</v>
      </c>
      <c r="L19" s="13">
        <f t="array" ref="L19">IF($A19="","",
SUM(
  IF(Bowling!$B$2:$B1000=$A19,
      (INT(Bowling!$C$2:$C1000)*6) + ROUND((Bowling!$C$2:$C1000-INT(Bowling!$C$2:$C1000))*10,0),
      0
    )
))
</f>
        <v>100</v>
      </c>
      <c r="M19" s="13">
        <f t="shared" si="3"/>
        <v>16.4</v>
      </c>
      <c r="N19" s="13">
        <f>IF($A19="","",SUMIF(Bowling!$B:$B,$A19,Bowling!$E:$E))
</f>
        <v>111</v>
      </c>
      <c r="O19" s="13">
        <f>IF($A19="","",SUMIF(Bowling!$B:$B,$A19,Bowling!$F:$F))
</f>
        <v>6</v>
      </c>
      <c r="P19" s="13">
        <f t="shared" si="4"/>
        <v>6.66</v>
      </c>
      <c r="Q19" s="13">
        <f>IF($A19="","",SUMIF(Bowling!$B:$B,$A19,Bowling!$G:$G))
</f>
        <v>32</v>
      </c>
      <c r="R19" s="13">
        <f>IF($A19="","",SUMIF(Bowling!$B:$B,$A19,Bowling!$D:$D))
</f>
        <v>0</v>
      </c>
      <c r="S19" s="13">
        <f>IF($A19="","",SUMIF(Bowling!$B:$B,$A19,Bowling!$J:$J))
</f>
        <v>13</v>
      </c>
      <c r="T19" s="13">
        <f>IF($A19="","",SUMIF(Bowling!$B:$B,$A19,Bowling!$K:$K))
</f>
        <v>1</v>
      </c>
      <c r="U19" s="13">
        <f>IF($A19="","",SUMIF(Bowling!$B:$B,$A19,Bowling!$H:$H))
</f>
        <v>4</v>
      </c>
      <c r="V19" s="13">
        <f>IF($A19="","",SUMIF(Bowling!$B:$B,$A19,Bowling!$I:$I))
</f>
        <v>0</v>
      </c>
      <c r="W19" s="13">
        <f>IF($A19="","",SUMIF(Fielding!$B:$B,$A19,Fielding!$C:$C))
</f>
        <v>4</v>
      </c>
      <c r="X19" s="13">
        <f>IF($A19="","",SUMIF(Fielding!$B:$B,$A19,Fielding!$D:$D))
</f>
        <v>0</v>
      </c>
      <c r="Y19" s="13">
        <f>IF($A19="","",SUMIF(Fielding!$B:$B,$A19,Fielding!$E:$E))
</f>
        <v>0</v>
      </c>
    </row>
    <row r="20">
      <c r="A20" s="13" t="str">
        <f>IFERROR(__xludf.DUMMYFUNCTION("""COMPUTED_VALUE"""),"P19")</f>
        <v>P19</v>
      </c>
      <c r="B20" s="13" t="str">
        <f t="array" ref="B20">IF(A20="","",XLOOKUP(A20,Players!A:A,Players!B:B,""))
</f>
        <v>Karthik</v>
      </c>
      <c r="C20" s="13">
        <f>IF(A20="","",
MAX(
  COUNTIF(Batting!B:B,A20),
  COUNTIF(Bowling!B:B,A20),
  COUNTIF(Fielding!B:B,A20)
))
</f>
        <v>1</v>
      </c>
      <c r="D20" s="13">
        <f>IF($A20="","",COUNTIF(Batting!$B:$B,$A20))</f>
        <v>1</v>
      </c>
      <c r="E20" s="13">
        <f>IF($A20="","",COUNTIFS(Batting!$B:$B,$A20,Batting!$G:$G,"No"))
</f>
        <v>1</v>
      </c>
      <c r="F20" s="13">
        <f>IF($A20="","",SUMIF(Batting!$B:$B,$A20,Batting!$C:$C))
</f>
        <v>14</v>
      </c>
      <c r="G20" s="13">
        <f>IF($A20="","",SUMIF(Batting!$B:$B,$A20,Batting!$D:$D))
</f>
        <v>23</v>
      </c>
      <c r="H20" s="13">
        <f>IF($A20="","",SUMIF(Batting!$B:$B,$A20,Batting!$E:$E))
</f>
        <v>1</v>
      </c>
      <c r="I20" s="13">
        <f>IF($A20="","",SUMIF(Batting!$B:$B,$A20,Batting!$F:$F))
</f>
        <v>0</v>
      </c>
      <c r="J20" s="13" t="str">
        <f t="shared" si="1"/>
        <v>-</v>
      </c>
      <c r="K20" s="13">
        <f t="shared" si="2"/>
        <v>60.87</v>
      </c>
      <c r="L20" s="13">
        <f t="array" ref="L20">IF($A20="","",
SUM(
  IF(Bowling!$B$2:$B1000=$A20,
      (INT(Bowling!$C$2:$C1000)*6) + ROUND((Bowling!$C$2:$C1000-INT(Bowling!$C$2:$C1000))*10,0),
      0
    )
))
</f>
        <v>18</v>
      </c>
      <c r="M20" s="13">
        <f t="shared" si="3"/>
        <v>3</v>
      </c>
      <c r="N20" s="13">
        <f>IF($A20="","",SUMIF(Bowling!$B:$B,$A20,Bowling!$E:$E))
</f>
        <v>14</v>
      </c>
      <c r="O20" s="13">
        <f>IF($A20="","",SUMIF(Bowling!$B:$B,$A20,Bowling!$F:$F))
</f>
        <v>0</v>
      </c>
      <c r="P20" s="13">
        <f t="shared" si="4"/>
        <v>4.67</v>
      </c>
      <c r="Q20" s="13">
        <f>IF($A20="","",SUMIF(Bowling!$B:$B,$A20,Bowling!$G:$G))
</f>
        <v>14</v>
      </c>
      <c r="R20" s="13">
        <f>IF($A20="","",SUMIF(Bowling!$B:$B,$A20,Bowling!$D:$D))
</f>
        <v>0</v>
      </c>
      <c r="S20" s="13">
        <f>IF($A20="","",SUMIF(Bowling!$B:$B,$A20,Bowling!$J:$J))
</f>
        <v>2</v>
      </c>
      <c r="T20" s="13">
        <f>IF($A20="","",SUMIF(Bowling!$B:$B,$A20,Bowling!$K:$K))
</f>
        <v>0</v>
      </c>
      <c r="U20" s="13">
        <f>IF($A20="","",SUMIF(Bowling!$B:$B,$A20,Bowling!$H:$H))
</f>
        <v>2</v>
      </c>
      <c r="V20" s="13">
        <f>IF($A20="","",SUMIF(Bowling!$B:$B,$A20,Bowling!$I:$I))
</f>
        <v>0</v>
      </c>
      <c r="W20" s="13">
        <f>IF($A20="","",SUMIF(Fielding!$B:$B,$A20,Fielding!$C:$C))
</f>
        <v>0</v>
      </c>
      <c r="X20" s="13">
        <f>IF($A20="","",SUMIF(Fielding!$B:$B,$A20,Fielding!$D:$D))
</f>
        <v>0</v>
      </c>
      <c r="Y20" s="13">
        <f>IF($A20="","",SUMIF(Fielding!$B:$B,$A20,Fielding!$E:$E))
</f>
        <v>0</v>
      </c>
    </row>
    <row r="21">
      <c r="A21" s="13" t="str">
        <f>IFERROR(__xludf.DUMMYFUNCTION("""COMPUTED_VALUE"""),"P20")</f>
        <v>P20</v>
      </c>
      <c r="B21" s="13" t="str">
        <f t="array" ref="B21">IF(A21="","",XLOOKUP(A21,Players!A:A,Players!B:B,""))
</f>
        <v>Jagath</v>
      </c>
      <c r="C21" s="13">
        <f>IF(A21="","",
MAX(
  COUNTIF(Batting!B:B,A21),
  COUNTIF(Bowling!B:B,A21),
  COUNTIF(Fielding!B:B,A21)
))
</f>
        <v>1</v>
      </c>
      <c r="D21" s="13">
        <f>IF($A21="","",COUNTIF(Batting!$B:$B,$A21))</f>
        <v>0</v>
      </c>
      <c r="E21" s="13">
        <f>IF($A21="","",COUNTIFS(Batting!$B:$B,$A21,Batting!$G:$G,"No"))
</f>
        <v>0</v>
      </c>
      <c r="F21" s="13">
        <f>IF($A21="","",SUMIF(Batting!$B:$B,$A21,Batting!$C:$C))
</f>
        <v>0</v>
      </c>
      <c r="G21" s="13">
        <f>IF($A21="","",SUMIF(Batting!$B:$B,$A21,Batting!$D:$D))
</f>
        <v>0</v>
      </c>
      <c r="H21" s="13">
        <f>IF($A21="","",SUMIF(Batting!$B:$B,$A21,Batting!$E:$E))
</f>
        <v>0</v>
      </c>
      <c r="I21" s="13">
        <f>IF($A21="","",SUMIF(Batting!$B:$B,$A21,Batting!$F:$F))
</f>
        <v>0</v>
      </c>
      <c r="J21" s="13" t="str">
        <f t="shared" si="1"/>
        <v>-</v>
      </c>
      <c r="K21" s="13">
        <f t="shared" si="2"/>
        <v>0</v>
      </c>
      <c r="L21" s="13">
        <f t="array" ref="L21">IF($A21="","",
SUM(
  IF(Bowling!$B$2:$B1000=$A21,
      (INT(Bowling!$C$2:$C1000)*6) + ROUND((Bowling!$C$2:$C1000-INT(Bowling!$C$2:$C1000))*10,0),
      0
    )
))
</f>
        <v>18</v>
      </c>
      <c r="M21" s="13">
        <f t="shared" si="3"/>
        <v>3</v>
      </c>
      <c r="N21" s="13">
        <f>IF($A21="","",SUMIF(Bowling!$B:$B,$A21,Bowling!$E:$E))
</f>
        <v>15</v>
      </c>
      <c r="O21" s="13">
        <f>IF($A21="","",SUMIF(Bowling!$B:$B,$A21,Bowling!$F:$F))
</f>
        <v>0</v>
      </c>
      <c r="P21" s="13">
        <f t="shared" si="4"/>
        <v>5</v>
      </c>
      <c r="Q21" s="13">
        <f>IF($A21="","",SUMIF(Bowling!$B:$B,$A21,Bowling!$G:$G))
</f>
        <v>10</v>
      </c>
      <c r="R21" s="13">
        <f>IF($A21="","",SUMIF(Bowling!$B:$B,$A21,Bowling!$D:$D))
</f>
        <v>0</v>
      </c>
      <c r="S21" s="13">
        <f>IF($A21="","",SUMIF(Bowling!$B:$B,$A21,Bowling!$J:$J))
</f>
        <v>1</v>
      </c>
      <c r="T21" s="13">
        <f>IF($A21="","",SUMIF(Bowling!$B:$B,$A21,Bowling!$K:$K))
</f>
        <v>0</v>
      </c>
      <c r="U21" s="13">
        <f>IF($A21="","",SUMIF(Bowling!$B:$B,$A21,Bowling!$H:$H))
</f>
        <v>2</v>
      </c>
      <c r="V21" s="13">
        <f>IF($A21="","",SUMIF(Bowling!$B:$B,$A21,Bowling!$I:$I))
</f>
        <v>0</v>
      </c>
      <c r="W21" s="13">
        <f>IF($A21="","",SUMIF(Fielding!$B:$B,$A21,Fielding!$C:$C))
</f>
        <v>0</v>
      </c>
      <c r="X21" s="13">
        <f>IF($A21="","",SUMIF(Fielding!$B:$B,$A21,Fielding!$D:$D))
</f>
        <v>0</v>
      </c>
      <c r="Y21" s="13">
        <f>IF($A21="","",SUMIF(Fielding!$B:$B,$A21,Fielding!$E:$E))
</f>
        <v>0</v>
      </c>
    </row>
    <row r="22">
      <c r="A22" s="13" t="str">
        <f>IFERROR(__xludf.DUMMYFUNCTION("""COMPUTED_VALUE"""),"P21")</f>
        <v>P21</v>
      </c>
      <c r="B22" s="13" t="str">
        <f t="array" ref="B22">IF(A22="","",XLOOKUP(A22,Players!A:A,Players!B:B,""))
</f>
        <v>Saibullah</v>
      </c>
      <c r="C22" s="13">
        <f>IF(A22="","",
MAX(
  COUNTIF(Batting!B:B,A22),
  COUNTIF(Bowling!B:B,A22),
  COUNTIF(Fielding!B:B,A22)
))
</f>
        <v>3</v>
      </c>
      <c r="D22" s="13">
        <f>IF($A22="","",COUNTIF(Batting!$B:$B,$A22))</f>
        <v>3</v>
      </c>
      <c r="E22" s="13">
        <f>IF($A22="","",COUNTIFS(Batting!$B:$B,$A22,Batting!$G:$G,"No"))
</f>
        <v>0</v>
      </c>
      <c r="F22" s="13">
        <f>IF($A22="","",SUMIF(Batting!$B:$B,$A22,Batting!$C:$C))
</f>
        <v>0</v>
      </c>
      <c r="G22" s="13">
        <f>IF($A22="","",SUMIF(Batting!$B:$B,$A22,Batting!$D:$D))
</f>
        <v>11</v>
      </c>
      <c r="H22" s="13">
        <f>IF($A22="","",SUMIF(Batting!$B:$B,$A22,Batting!$E:$E))
</f>
        <v>0</v>
      </c>
      <c r="I22" s="13">
        <f>IF($A22="","",SUMIF(Batting!$B:$B,$A22,Batting!$F:$F))
</f>
        <v>0</v>
      </c>
      <c r="J22" s="13">
        <f t="shared" si="1"/>
        <v>0</v>
      </c>
      <c r="K22" s="13">
        <f t="shared" si="2"/>
        <v>0</v>
      </c>
      <c r="L22" s="13">
        <f t="array" ref="L22">IF($A22="","",
SUM(
  IF(Bowling!$B$2:$B1000=$A22,
      (INT(Bowling!$C$2:$C1000)*6) + ROUND((Bowling!$C$2:$C1000-INT(Bowling!$C$2:$C1000))*10,0),
      0
    )
))
</f>
        <v>0</v>
      </c>
      <c r="M22" s="13">
        <f t="shared" si="3"/>
        <v>0</v>
      </c>
      <c r="N22" s="13">
        <f>IF($A22="","",SUMIF(Bowling!$B:$B,$A22,Bowling!$E:$E))
</f>
        <v>0</v>
      </c>
      <c r="O22" s="13">
        <f>IF($A22="","",SUMIF(Bowling!$B:$B,$A22,Bowling!$F:$F))
</f>
        <v>0</v>
      </c>
      <c r="P22" s="13">
        <f t="shared" si="4"/>
        <v>0</v>
      </c>
      <c r="Q22" s="13">
        <f>IF($A22="","",SUMIF(Bowling!$B:$B,$A22,Bowling!$G:$G))
</f>
        <v>0</v>
      </c>
      <c r="R22" s="13">
        <f>IF($A22="","",SUMIF(Bowling!$B:$B,$A22,Bowling!$D:$D))
</f>
        <v>0</v>
      </c>
      <c r="S22" s="13">
        <f>IF($A22="","",SUMIF(Bowling!$B:$B,$A22,Bowling!$J:$J))
</f>
        <v>0</v>
      </c>
      <c r="T22" s="13">
        <f>IF($A22="","",SUMIF(Bowling!$B:$B,$A22,Bowling!$K:$K))
</f>
        <v>0</v>
      </c>
      <c r="U22" s="13">
        <f>IF($A22="","",SUMIF(Bowling!$B:$B,$A22,Bowling!$H:$H))
</f>
        <v>0</v>
      </c>
      <c r="V22" s="13">
        <f>IF($A22="","",SUMIF(Bowling!$B:$B,$A22,Bowling!$I:$I))
</f>
        <v>0</v>
      </c>
      <c r="W22" s="13">
        <f>IF($A22="","",SUMIF(Fielding!$B:$B,$A22,Fielding!$C:$C))
</f>
        <v>0</v>
      </c>
      <c r="X22" s="13">
        <f>IF($A22="","",SUMIF(Fielding!$B:$B,$A22,Fielding!$D:$D))
</f>
        <v>0</v>
      </c>
      <c r="Y22" s="13">
        <f>IF($A22="","",SUMIF(Fielding!$B:$B,$A22,Fielding!$E:$E))
</f>
        <v>0</v>
      </c>
    </row>
    <row r="23">
      <c r="A23" s="13" t="str">
        <f>IFERROR(__xludf.DUMMYFUNCTION("""COMPUTED_VALUE"""),"P22")</f>
        <v>P22</v>
      </c>
      <c r="B23" s="13" t="str">
        <f t="array" ref="B23">IF(A23="","",XLOOKUP(A23,Players!A:A,Players!B:B,""))
</f>
        <v>Prasanth G</v>
      </c>
      <c r="C23" s="13">
        <f>IF(A23="","",
MAX(
  COUNTIF(Batting!B:B,A23),
  COUNTIF(Bowling!B:B,A23),
  COUNTIF(Fielding!B:B,A23)
))
</f>
        <v>1</v>
      </c>
      <c r="D23" s="13">
        <f>IF($A23="","",COUNTIF(Batting!$B:$B,$A23))</f>
        <v>1</v>
      </c>
      <c r="E23" s="13">
        <f>IF($A23="","",COUNTIFS(Batting!$B:$B,$A23,Batting!$G:$G,"No"))
</f>
        <v>0</v>
      </c>
      <c r="F23" s="13">
        <f>IF($A23="","",SUMIF(Batting!$B:$B,$A23,Batting!$C:$C))
</f>
        <v>2</v>
      </c>
      <c r="G23" s="13">
        <f>IF($A23="","",SUMIF(Batting!$B:$B,$A23,Batting!$D:$D))
</f>
        <v>12</v>
      </c>
      <c r="H23" s="13">
        <f>IF($A23="","",SUMIF(Batting!$B:$B,$A23,Batting!$E:$E))
</f>
        <v>0</v>
      </c>
      <c r="I23" s="13">
        <f>IF($A23="","",SUMIF(Batting!$B:$B,$A23,Batting!$F:$F))
</f>
        <v>0</v>
      </c>
      <c r="J23" s="13">
        <f t="shared" si="1"/>
        <v>2</v>
      </c>
      <c r="K23" s="13">
        <f t="shared" si="2"/>
        <v>16.67</v>
      </c>
      <c r="L23" s="13">
        <f t="array" ref="L23">IF($A23="","",
SUM(
  IF(Bowling!$B$2:$B1000=$A23,
      (INT(Bowling!$C$2:$C1000)*6) + ROUND((Bowling!$C$2:$C1000-INT(Bowling!$C$2:$C1000))*10,0),
      0
    )
))
</f>
        <v>12</v>
      </c>
      <c r="M23" s="13">
        <f t="shared" si="3"/>
        <v>2</v>
      </c>
      <c r="N23" s="13">
        <f>IF($A23="","",SUMIF(Bowling!$B:$B,$A23,Bowling!$E:$E))
</f>
        <v>13</v>
      </c>
      <c r="O23" s="13">
        <f>IF($A23="","",SUMIF(Bowling!$B:$B,$A23,Bowling!$F:$F))
</f>
        <v>0</v>
      </c>
      <c r="P23" s="13">
        <f t="shared" si="4"/>
        <v>6.5</v>
      </c>
      <c r="Q23" s="13">
        <f>IF($A23="","",SUMIF(Bowling!$B:$B,$A23,Bowling!$G:$G))
</f>
        <v>9</v>
      </c>
      <c r="R23" s="13">
        <f>IF($A23="","",SUMIF(Bowling!$B:$B,$A23,Bowling!$D:$D))
</f>
        <v>0</v>
      </c>
      <c r="S23" s="13">
        <f>IF($A23="","",SUMIF(Bowling!$B:$B,$A23,Bowling!$J:$J))
</f>
        <v>3</v>
      </c>
      <c r="T23" s="13">
        <f>IF($A23="","",SUMIF(Bowling!$B:$B,$A23,Bowling!$K:$K))
</f>
        <v>0</v>
      </c>
      <c r="U23" s="13">
        <f>IF($A23="","",SUMIF(Bowling!$B:$B,$A23,Bowling!$H:$H))
</f>
        <v>0</v>
      </c>
      <c r="V23" s="13">
        <f>IF($A23="","",SUMIF(Bowling!$B:$B,$A23,Bowling!$I:$I))
</f>
        <v>1</v>
      </c>
      <c r="Y23" s="13">
        <f>IF($A23="","",SUMIF(Fielding!$B:$B,$A23,Fielding!$E:$E))
</f>
        <v>0</v>
      </c>
    </row>
    <row r="24">
      <c r="A24" s="13" t="str">
        <f>IFERROR(__xludf.DUMMYFUNCTION("""COMPUTED_VALUE"""),"P23")</f>
        <v>P23</v>
      </c>
      <c r="B24" s="13" t="str">
        <f t="array" ref="B24">IF(A24="","",XLOOKUP(A24,Players!A:A,Players!B:B,""))
</f>
        <v>Manoj</v>
      </c>
      <c r="C24" s="13">
        <f>IF(A24="","",
MAX(
  COUNTIF(Batting!B:B,A24),
  COUNTIF(Bowling!B:B,A24),
  COUNTIF(Fielding!B:B,A24)
))
</f>
        <v>2</v>
      </c>
      <c r="D24" s="13">
        <f>IF($A24="","",COUNTIF(Batting!$B:$B,$A24))</f>
        <v>2</v>
      </c>
      <c r="E24" s="13">
        <f>IF($A24="","",COUNTIFS(Batting!$B:$B,$A24,Batting!$G:$G,"No"))
</f>
        <v>0</v>
      </c>
      <c r="F24" s="13">
        <f>IF($A24="","",SUMIF(Batting!$B:$B,$A24,Batting!$C:$C))
</f>
        <v>16</v>
      </c>
      <c r="G24" s="13">
        <f>IF($A24="","",SUMIF(Batting!$B:$B,$A24,Batting!$D:$D))
</f>
        <v>14</v>
      </c>
      <c r="H24" s="13">
        <f>IF($A24="","",SUMIF(Batting!$B:$B,$A24,Batting!$E:$E))
</f>
        <v>4</v>
      </c>
      <c r="I24" s="13">
        <f>IF($A24="","",SUMIF(Batting!$B:$B,$A24,Batting!$F:$F))
</f>
        <v>0</v>
      </c>
      <c r="J24" s="13">
        <f t="shared" si="1"/>
        <v>8</v>
      </c>
      <c r="K24" s="13">
        <f t="shared" si="2"/>
        <v>114.29</v>
      </c>
      <c r="L24" s="13">
        <f t="array" ref="L24">IF($A24="","",
SUM(
  IF(Bowling!$B$2:$B1000=$A24,
      (INT(Bowling!$C$2:$C1000)*6) + ROUND((Bowling!$C$2:$C1000-INT(Bowling!$C$2:$C1000))*10,0),
      0
    )
))
</f>
        <v>54</v>
      </c>
      <c r="M24" s="13">
        <f t="shared" si="3"/>
        <v>9</v>
      </c>
      <c r="N24" s="13">
        <f>IF($A24="","",SUMIF(Bowling!$B:$B,$A24,Bowling!$E:$E))
</f>
        <v>42</v>
      </c>
      <c r="O24" s="13">
        <f>IF($A24="","",SUMIF(Bowling!$B:$B,$A24,Bowling!$F:$F))
</f>
        <v>3</v>
      </c>
      <c r="P24" s="13">
        <f t="shared" si="4"/>
        <v>4.67</v>
      </c>
      <c r="Q24" s="13">
        <f>IF($A24="","",SUMIF(Bowling!$B:$B,$A24,Bowling!$G:$G))
</f>
        <v>33</v>
      </c>
      <c r="R24" s="13">
        <f>IF($A24="","",SUMIF(Bowling!$B:$B,$A24,Bowling!$D:$D))
</f>
        <v>0</v>
      </c>
      <c r="S24" s="13">
        <f>IF($A24="","",SUMIF(Bowling!$B:$B,$A24,Bowling!$J:$J))
</f>
        <v>1</v>
      </c>
      <c r="T24" s="13">
        <f>IF($A24="","",SUMIF(Bowling!$B:$B,$A24,Bowling!$K:$K))
</f>
        <v>1</v>
      </c>
      <c r="U24" s="13">
        <f>IF($A24="","",SUMIF(Bowling!$B:$B,$A24,Bowling!$H:$H))
</f>
        <v>5</v>
      </c>
      <c r="V24" s="13">
        <f>IF($A24="","",SUMIF(Bowling!$B:$B,$A24,Bowling!$I:$I))
</f>
        <v>0</v>
      </c>
      <c r="Y24" s="13">
        <f>IF($A24="","",SUMIF(Fielding!$B:$B,$A24,Fielding!$E:$E))
</f>
        <v>0</v>
      </c>
    </row>
    <row r="25">
      <c r="A25" s="13" t="str">
        <f>IFERROR(__xludf.DUMMYFUNCTION("""COMPUTED_VALUE"""),"P24")</f>
        <v>P24</v>
      </c>
      <c r="B25" s="13" t="str">
        <f t="array" ref="B25">IF(A25="","",XLOOKUP(A25,Players!A:A,Players!B:B,""))
</f>
        <v>Imtiyaz</v>
      </c>
      <c r="C25" s="13">
        <f>IF(A25="","",
MAX(
  COUNTIF(Batting!B:B,A25),
  COUNTIF(Bowling!B:B,A25),
  COUNTIF(Fielding!B:B,A25)
))
</f>
        <v>1</v>
      </c>
      <c r="D25" s="13">
        <f>IF($A25="","",COUNTIF(Batting!$B:$B,$A25))</f>
        <v>1</v>
      </c>
      <c r="E25" s="13">
        <f>IF($A25="","",COUNTIFS(Batting!$B:$B,$A25,Batting!$G:$G,"No"))
</f>
        <v>0</v>
      </c>
      <c r="F25" s="13">
        <f>IF($A25="","",SUMIF(Batting!$B:$B,$A25,Batting!$C:$C))
</f>
        <v>1</v>
      </c>
      <c r="G25" s="13">
        <f>IF($A25="","",SUMIF(Batting!$B:$B,$A25,Batting!$D:$D))
</f>
        <v>7</v>
      </c>
      <c r="H25" s="13">
        <f>IF($A25="","",SUMIF(Batting!$B:$B,$A25,Batting!$E:$E))
</f>
        <v>0</v>
      </c>
      <c r="I25" s="13">
        <f>IF($A25="","",SUMIF(Batting!$B:$B,$A25,Batting!$F:$F))
</f>
        <v>0</v>
      </c>
      <c r="J25" s="13">
        <f t="shared" si="1"/>
        <v>1</v>
      </c>
      <c r="K25" s="13">
        <f t="shared" si="2"/>
        <v>14.29</v>
      </c>
      <c r="L25" s="13">
        <f t="array" ref="L25">IF($A25="","",
SUM(
  IF(Bowling!$B$2:$B1000=$A25,
      (INT(Bowling!$C$2:$C1000)*6) + ROUND((Bowling!$C$2:$C1000-INT(Bowling!$C$2:$C1000))*10,0),
      0
    )
))
</f>
        <v>0</v>
      </c>
      <c r="M25" s="13">
        <f t="shared" si="3"/>
        <v>0</v>
      </c>
      <c r="N25" s="13">
        <f>IF($A25="","",SUMIF(Bowling!$B:$B,$A25,Bowling!$E:$E))
</f>
        <v>0</v>
      </c>
      <c r="O25" s="13">
        <f>IF($A25="","",SUMIF(Bowling!$B:$B,$A25,Bowling!$F:$F))
</f>
        <v>0</v>
      </c>
      <c r="P25" s="13">
        <f t="shared" si="4"/>
        <v>0</v>
      </c>
      <c r="Q25" s="13">
        <f>IF($A25="","",SUMIF(Bowling!$B:$B,$A25,Bowling!$G:$G))
</f>
        <v>0</v>
      </c>
      <c r="R25" s="13">
        <f>IF($A25="","",SUMIF(Bowling!$B:$B,$A25,Bowling!$D:$D))
</f>
        <v>0</v>
      </c>
      <c r="S25" s="13">
        <f>IF($A25="","",SUMIF(Bowling!$B:$B,$A25,Bowling!$J:$J))
</f>
        <v>0</v>
      </c>
      <c r="T25" s="13">
        <f>IF($A25="","",SUMIF(Bowling!$B:$B,$A25,Bowling!$K:$K))
</f>
        <v>0</v>
      </c>
      <c r="U25" s="13">
        <f>IF($A25="","",SUMIF(Bowling!$B:$B,$A25,Bowling!$H:$H))
</f>
        <v>0</v>
      </c>
      <c r="V25" s="13">
        <f>IF($A25="","",SUMIF(Bowling!$B:$B,$A25,Bowling!$I:$I))
</f>
        <v>0</v>
      </c>
    </row>
    <row r="26">
      <c r="A26" s="13" t="str">
        <f>IFERROR(__xludf.DUMMYFUNCTION("""COMPUTED_VALUE"""),"P25")</f>
        <v>P25</v>
      </c>
      <c r="B26" s="13" t="str">
        <f t="array" ref="B26">IF(A26="","",XLOOKUP(A26,Players!A:A,Players!B:B,""))
</f>
        <v>Vivek VNA</v>
      </c>
      <c r="C26" s="13">
        <f>IF(A26="","",
MAX(
  COUNTIF(Batting!B:B,A26),
  COUNTIF(Bowling!B:B,A26),
  COUNTIF(Fielding!B:B,A26)
))
</f>
        <v>1</v>
      </c>
      <c r="D26" s="13">
        <f>IF($A26="","",COUNTIF(Batting!$B:$B,$A26))</f>
        <v>0</v>
      </c>
      <c r="E26" s="13">
        <f>IF($A26="","",COUNTIFS(Batting!$B:$B,$A26,Batting!$G:$G,"No"))
</f>
        <v>0</v>
      </c>
      <c r="F26" s="13">
        <f>IF($A26="","",SUMIF(Batting!$B:$B,$A26,Batting!$C:$C))
</f>
        <v>0</v>
      </c>
      <c r="G26" s="13">
        <f>IF($A26="","",SUMIF(Batting!$B:$B,$A26,Batting!$D:$D))
</f>
        <v>0</v>
      </c>
      <c r="H26" s="13">
        <f>IF($A26="","",SUMIF(Batting!$B:$B,$A26,Batting!$E:$E))
</f>
        <v>0</v>
      </c>
      <c r="I26" s="13">
        <f>IF($A26="","",SUMIF(Batting!$B:$B,$A26,Batting!$F:$F))
</f>
        <v>0</v>
      </c>
      <c r="J26" s="13" t="str">
        <f t="shared" si="1"/>
        <v>-</v>
      </c>
      <c r="K26" s="13">
        <f t="shared" si="2"/>
        <v>0</v>
      </c>
      <c r="L26" s="13">
        <f t="array" ref="L26">IF($A26="","",
SUM(
  IF(Bowling!$B$2:$B1000=$A26,
      (INT(Bowling!$C$2:$C1000)*6) + ROUND((Bowling!$C$2:$C1000-INT(Bowling!$C$2:$C1000))*10,0),
      0
    )
))
</f>
        <v>12</v>
      </c>
      <c r="M26" s="13">
        <f t="shared" si="3"/>
        <v>2</v>
      </c>
      <c r="N26" s="13">
        <f>IF($A26="","",SUMIF(Bowling!$B:$B,$A26,Bowling!$E:$E))
</f>
        <v>27</v>
      </c>
      <c r="O26" s="13">
        <f>IF($A26="","",SUMIF(Bowling!$B:$B,$A26,Bowling!$F:$F))
</f>
        <v>0</v>
      </c>
      <c r="P26" s="13">
        <f t="shared" si="4"/>
        <v>13.5</v>
      </c>
      <c r="Q26" s="13">
        <f>IF($A26="","",SUMIF(Bowling!$B:$B,$A26,Bowling!$G:$G))
</f>
        <v>5</v>
      </c>
      <c r="R26" s="13">
        <f>IF($A26="","",SUMIF(Bowling!$B:$B,$A26,Bowling!$D:$D))
</f>
        <v>0</v>
      </c>
      <c r="S26" s="13">
        <f>IF($A26="","",SUMIF(Bowling!$B:$B,$A26,Bowling!$J:$J))
</f>
        <v>2</v>
      </c>
      <c r="T26" s="13">
        <f>IF($A26="","",SUMIF(Bowling!$B:$B,$A26,Bowling!$K:$K))
</f>
        <v>0</v>
      </c>
      <c r="U26" s="13">
        <f>IF($A26="","",SUMIF(Bowling!$B:$B,$A26,Bowling!$H:$H))
</f>
        <v>6</v>
      </c>
      <c r="V26" s="13">
        <f>IF($A26="","",SUMIF(Bowling!$B:$B,$A26,Bowling!$I:$I))
</f>
        <v>0</v>
      </c>
    </row>
    <row r="27">
      <c r="B27" s="13" t="str">
        <f t="array" ref="B27">IF(A27="","",XLOOKUP(A27,Players!A:A,Players!B:B,""))
</f>
        <v/>
      </c>
      <c r="C27" s="13" t="str">
        <f>IF(A27="","",
MAX(
  COUNTIF(Batting!B:B,A27),
  COUNTIF(Bowling!B:B,A27),
  COUNTIF(Fielding!B:B,A27)
))
</f>
        <v/>
      </c>
      <c r="D27" s="13" t="str">
        <f>IF($A27="","",COUNTIF(Batting!$B:$B,$A27))</f>
        <v/>
      </c>
      <c r="E27" s="13" t="str">
        <f>IF($A27="","",COUNTIFS(Batting!$B:$B,$A27,Batting!$G:$G,"No"))
</f>
        <v/>
      </c>
      <c r="F27" s="13" t="str">
        <f>IF($A27="","",SUMIF(Batting!$B:$B,$A27,Batting!$C:$C))
</f>
        <v/>
      </c>
      <c r="G27" s="13" t="str">
        <f>IF($A27="","",SUMIF(Batting!$B:$B,$A27,Batting!$D:$D))
</f>
        <v/>
      </c>
      <c r="H27" s="13" t="str">
        <f>IF($A27="","",SUMIF(Batting!$B:$B,$A27,Batting!$E:$E))
</f>
        <v/>
      </c>
      <c r="I27" s="13" t="str">
        <f>IF($A27="","",SUMIF(Batting!$B:$B,$A27,Batting!$F:$F))
</f>
        <v/>
      </c>
      <c r="J27" s="13" t="str">
        <f t="shared" si="1"/>
        <v/>
      </c>
      <c r="K27" s="13" t="str">
        <f t="shared" si="2"/>
        <v/>
      </c>
      <c r="L27" s="13" t="str">
        <f t="array" ref="L27">IF($A27="","",
SUM(
  IF(Bowling!$B$2:$B1000=$A27,
      (INT(Bowling!$C$2:$C1000)*6) + ROUND((Bowling!$C$2:$C1000-INT(Bowling!$C$2:$C1000))*10,0),
      0
    )
))
</f>
        <v/>
      </c>
      <c r="M27" s="13" t="str">
        <f t="shared" si="3"/>
        <v/>
      </c>
      <c r="N27" s="13" t="str">
        <f>IF($A27="","",SUMIF(Bowling!$B:$B,$A27,Bowling!$E:$E))
</f>
        <v/>
      </c>
      <c r="O27" s="13" t="str">
        <f>IF($A27="","",SUMIF(Bowling!$B:$B,$A27,Bowling!$F:$F))
</f>
        <v/>
      </c>
      <c r="P27" s="13" t="str">
        <f t="shared" si="4"/>
        <v/>
      </c>
      <c r="Q27" s="13" t="str">
        <f>IF($A27="","",SUMIF(Bowling!$B:$B,$A27,Bowling!$G:$G))
</f>
        <v/>
      </c>
      <c r="R27" s="13" t="str">
        <f>IF($A27="","",SUMIF(Bowling!$B:$B,$A27,Bowling!$D:$D))
</f>
        <v/>
      </c>
      <c r="S27" s="13" t="str">
        <f>IF($A27="","",SUMIF(Bowling!$B:$B,$A27,Bowling!$J:$J))
</f>
        <v/>
      </c>
      <c r="T27" s="13" t="str">
        <f>IF($A27="","",SUMIF(Bowling!$B:$B,$A27,Bowling!$K:$K))
</f>
        <v/>
      </c>
      <c r="U27" s="13" t="str">
        <f>IF($A27="","",SUMIF(Bowling!$B:$B,$A27,Bowling!$H:$H))
</f>
        <v/>
      </c>
      <c r="V27" s="13" t="str">
        <f>IF($A27="","",SUMIF(Bowling!$B:$B,$A27,Bowling!$I:$I))
</f>
        <v/>
      </c>
    </row>
    <row r="28">
      <c r="B28" s="13" t="str">
        <f t="array" ref="B28">IF(A28="","",XLOOKUP(A28,Players!A:A,Players!B:B,""))
</f>
        <v/>
      </c>
      <c r="C28" s="13" t="str">
        <f>IF(A28="","",
MAX(
  COUNTIF(Batting!B:B,A28),
  COUNTIF(Bowling!B:B,A28),
  COUNTIF(Fielding!B:B,A28)
))
</f>
        <v/>
      </c>
      <c r="D28" s="13" t="str">
        <f>IF($A28="","",COUNTIF(Batting!$B:$B,$A28))</f>
        <v/>
      </c>
      <c r="E28" s="13" t="str">
        <f>IF($A28="","",COUNTIFS(Batting!$B:$B,$A28,Batting!$G:$G,"No"))
</f>
        <v/>
      </c>
      <c r="F28" s="13" t="str">
        <f>IF($A28="","",SUMIF(Batting!$B:$B,$A28,Batting!$C:$C))
</f>
        <v/>
      </c>
      <c r="G28" s="13" t="str">
        <f>IF($A28="","",SUMIF(Batting!$B:$B,$A28,Batting!$D:$D))
</f>
        <v/>
      </c>
      <c r="H28" s="13" t="str">
        <f>IF($A28="","",SUMIF(Batting!$B:$B,$A28,Batting!$E:$E))
</f>
        <v/>
      </c>
      <c r="I28" s="13" t="str">
        <f>IF($A28="","",SUMIF(Batting!$B:$B,$A28,Batting!$F:$F))
</f>
        <v/>
      </c>
      <c r="J28" s="13" t="str">
        <f t="shared" si="1"/>
        <v/>
      </c>
      <c r="K28" s="13" t="str">
        <f t="shared" si="2"/>
        <v/>
      </c>
      <c r="L28" s="13" t="str">
        <f t="array" ref="L28">IF($A28="","",
SUM(
  IF(Bowling!$B$2:$B1000=$A28,
      (INT(Bowling!$C$2:$C1000)*6) + ROUND((Bowling!$C$2:$C1000-INT(Bowling!$C$2:$C1000))*10,0),
      0
    )
))
</f>
        <v/>
      </c>
      <c r="M28" s="13" t="str">
        <f t="shared" si="3"/>
        <v/>
      </c>
      <c r="N28" s="13" t="str">
        <f>IF($A28="","",SUMIF(Bowling!$B:$B,$A28,Bowling!$E:$E))
</f>
        <v/>
      </c>
      <c r="O28" s="13" t="str">
        <f>IF($A28="","",SUMIF(Bowling!$B:$B,$A28,Bowling!$F:$F))
</f>
        <v/>
      </c>
      <c r="P28" s="13" t="str">
        <f t="shared" si="4"/>
        <v/>
      </c>
      <c r="Q28" s="13" t="str">
        <f>IF($A28="","",SUMIF(Bowling!$B:$B,$A28,Bowling!$G:$G))
</f>
        <v/>
      </c>
      <c r="R28" s="13" t="str">
        <f>IF($A28="","",SUMIF(Bowling!$B:$B,$A28,Bowling!$D:$D))
</f>
        <v/>
      </c>
      <c r="S28" s="13" t="str">
        <f>IF($A28="","",SUMIF(Bowling!$B:$B,$A28,Bowling!$J:$J))
</f>
        <v/>
      </c>
      <c r="T28" s="13" t="str">
        <f>IF($A28="","",SUMIF(Bowling!$B:$B,$A28,Bowling!$K:$K))
</f>
        <v/>
      </c>
      <c r="U28" s="13" t="str">
        <f>IF($A28="","",SUMIF(Bowling!$B:$B,$A28,Bowling!$H:$H))
</f>
        <v/>
      </c>
      <c r="V28" s="13" t="str">
        <f>IF($A28="","",SUMIF(Bowling!$B:$B,$A28,Bowling!$I:$I))
</f>
        <v/>
      </c>
    </row>
    <row r="29">
      <c r="B29" s="13" t="str">
        <f t="array" ref="B29">IF(A29="","",XLOOKUP(A29,Players!A:A,Players!B:B,""))
</f>
        <v/>
      </c>
      <c r="C29" s="13" t="str">
        <f>IF(A29="","",
MAX(
  COUNTIF(Batting!B:B,A29),
  COUNTIF(Bowling!B:B,A29),
  COUNTIF(Fielding!B:B,A29)
))
</f>
        <v/>
      </c>
      <c r="D29" s="13" t="str">
        <f>IF($A29="","",COUNTIF(Batting!$B:$B,$A29))</f>
        <v/>
      </c>
      <c r="E29" s="13" t="str">
        <f>IF($A29="","",COUNTIFS(Batting!$B:$B,$A29,Batting!$G:$G,"No"))
</f>
        <v/>
      </c>
      <c r="F29" s="13" t="str">
        <f>IF($A29="","",SUMIF(Batting!$B:$B,$A29,Batting!$C:$C))
</f>
        <v/>
      </c>
      <c r="G29" s="13" t="str">
        <f>IF($A29="","",SUMIF(Batting!$B:$B,$A29,Batting!$D:$D))
</f>
        <v/>
      </c>
      <c r="H29" s="13" t="str">
        <f>IF($A29="","",SUMIF(Batting!$B:$B,$A29,Batting!$E:$E))
</f>
        <v/>
      </c>
      <c r="I29" s="13" t="str">
        <f>IF($A29="","",SUMIF(Batting!$B:$B,$A29,Batting!$F:$F))
</f>
        <v/>
      </c>
      <c r="J29" s="13" t="str">
        <f t="shared" si="1"/>
        <v/>
      </c>
      <c r="K29" s="13" t="str">
        <f t="shared" si="2"/>
        <v/>
      </c>
      <c r="L29" s="13" t="str">
        <f t="array" ref="L29">IF($A29="","",
SUM(
  IF(Bowling!$B$2:$B1000=$A29,
      (INT(Bowling!$C$2:$C1000)*6) + ROUND((Bowling!$C$2:$C1000-INT(Bowling!$C$2:$C1000))*10,0),
      0
    )
))
</f>
        <v/>
      </c>
      <c r="M29" s="13" t="str">
        <f t="shared" si="3"/>
        <v/>
      </c>
      <c r="N29" s="13" t="str">
        <f>IF($A29="","",SUMIF(Bowling!$B:$B,$A29,Bowling!$E:$E))
</f>
        <v/>
      </c>
      <c r="O29" s="13" t="str">
        <f>IF($A29="","",SUMIF(Bowling!$B:$B,$A29,Bowling!$F:$F))
</f>
        <v/>
      </c>
      <c r="P29" s="13" t="str">
        <f t="shared" si="4"/>
        <v/>
      </c>
      <c r="Q29" s="13" t="str">
        <f>IF($A29="","",SUMIF(Bowling!$B:$B,$A29,Bowling!$G:$G))
</f>
        <v/>
      </c>
      <c r="R29" s="13" t="str">
        <f>IF($A29="","",SUMIF(Bowling!$B:$B,$A29,Bowling!$D:$D))
</f>
        <v/>
      </c>
      <c r="S29" s="13" t="str">
        <f>IF($A29="","",SUMIF(Bowling!$B:$B,$A29,Bowling!$J:$J))
</f>
        <v/>
      </c>
      <c r="T29" s="13" t="str">
        <f>IF($A29="","",SUMIF(Bowling!$B:$B,$A29,Bowling!$K:$K))
</f>
        <v/>
      </c>
      <c r="U29" s="13" t="str">
        <f>IF($A29="","",SUMIF(Bowling!$B:$B,$A29,Bowling!$H:$H))
</f>
        <v/>
      </c>
      <c r="V29" s="13" t="str">
        <f>IF($A29="","",SUMIF(Bowling!$B:$B,$A29,Bowling!$I:$I))
</f>
        <v/>
      </c>
    </row>
    <row r="30">
      <c r="B30" s="13" t="str">
        <f t="array" ref="B30">IF(A30="","",XLOOKUP(A30,Players!A:A,Players!B:B,""))
</f>
        <v/>
      </c>
      <c r="C30" s="13" t="str">
        <f>IF(A30="","",
MAX(
  COUNTIF(Batting!B:B,A30),
  COUNTIF(Bowling!B:B,A30),
  COUNTIF(Fielding!B:B,A30)
))
</f>
        <v/>
      </c>
      <c r="E30" s="13" t="str">
        <f>IF($A30="","",COUNTIFS(Batting!$B:$B,$A30,Batting!$G:$G,"No"))
</f>
        <v/>
      </c>
      <c r="F30" s="13" t="str">
        <f>IF($A30="","",SUMIF(Batting!$B:$B,$A30,Batting!$C:$C))
</f>
        <v/>
      </c>
      <c r="G30" s="13" t="str">
        <f>IF($A30="","",SUMIF(Batting!$B:$B,$A30,Batting!$D:$D))
</f>
        <v/>
      </c>
      <c r="H30" s="13" t="str">
        <f>IF($A30="","",SUMIF(Batting!$B:$B,$A30,Batting!$E:$E))
</f>
        <v/>
      </c>
      <c r="I30" s="13" t="str">
        <f>IF($A30="","",SUMIF(Batting!$B:$B,$A30,Batting!$F:$F))
</f>
        <v/>
      </c>
      <c r="J30" s="13" t="str">
        <f t="shared" si="1"/>
        <v/>
      </c>
      <c r="K30" s="13" t="str">
        <f t="shared" si="2"/>
        <v/>
      </c>
      <c r="L30" s="13" t="str">
        <f t="array" ref="L30">IF($A30="","",
SUM(
  IF(Bowling!$B$2:$B1000=$A30,
      (INT(Bowling!$C$2:$C1000)*6) + ROUND((Bowling!$C$2:$C1000-INT(Bowling!$C$2:$C1000))*10,0),
      0
    )
))
</f>
        <v/>
      </c>
      <c r="M30" s="13" t="str">
        <f t="shared" si="3"/>
        <v/>
      </c>
      <c r="N30" s="13" t="str">
        <f>IF($A30="","",SUMIF(Bowling!$B:$B,$A30,Bowling!$E:$E))
</f>
        <v/>
      </c>
      <c r="O30" s="13" t="str">
        <f>IF($A30="","",SUMIF(Bowling!$B:$B,$A30,Bowling!$F:$F))
</f>
        <v/>
      </c>
      <c r="P30" s="13" t="str">
        <f t="shared" si="4"/>
        <v/>
      </c>
      <c r="Q30" s="13" t="str">
        <f>IF($A30="","",SUMIF(Bowling!$B:$B,$A30,Bowling!$G:$G))
</f>
        <v/>
      </c>
      <c r="R30" s="13" t="str">
        <f>IF($A30="","",SUMIF(Bowling!$B:$B,$A30,Bowling!$D:$D))
</f>
        <v/>
      </c>
      <c r="S30" s="13" t="str">
        <f>IF($A30="","",SUMIF(Bowling!$B:$B,$A30,Bowling!$J:$J))
</f>
        <v/>
      </c>
      <c r="T30" s="13" t="str">
        <f>IF($A30="","",SUMIF(Bowling!$B:$B,$A30,Bowling!$K:$K))
</f>
        <v/>
      </c>
      <c r="U30" s="13" t="str">
        <f>IF($A30="","",SUMIF(Bowling!$B:$B,$A30,Bowling!$H:$H))
</f>
        <v/>
      </c>
      <c r="V30" s="13" t="str">
        <f>IF($A30="","",SUMIF(Bowling!$B:$B,$A30,Bowling!$I:$I))
</f>
        <v/>
      </c>
    </row>
    <row r="31">
      <c r="B31" s="13" t="str">
        <f t="array" ref="B31">IF(A31="","",XLOOKUP(A31,Players!A:A,Players!B:B,""))
</f>
        <v/>
      </c>
      <c r="C31" s="13" t="str">
        <f>IF(A31="","",
MAX(
  COUNTIF(Batting!B:B,A31),
  COUNTIF(Bowling!B:B,A31),
  COUNTIF(Fielding!B:B,A31)
))
</f>
        <v/>
      </c>
      <c r="E31" s="13" t="str">
        <f>IF($A31="","",COUNTIFS(Batting!$B:$B,$A31,Batting!$G:$G,"No"))
</f>
        <v/>
      </c>
      <c r="F31" s="13" t="str">
        <f>IF($A31="","",SUMIF(Batting!$B:$B,$A31,Batting!$C:$C))
</f>
        <v/>
      </c>
      <c r="G31" s="13" t="str">
        <f>IF($A31="","",SUMIF(Batting!$B:$B,$A31,Batting!$D:$D))
</f>
        <v/>
      </c>
      <c r="H31" s="13" t="str">
        <f>IF($A31="","",SUMIF(Batting!$B:$B,$A31,Batting!$E:$E))
</f>
        <v/>
      </c>
      <c r="I31" s="13" t="str">
        <f>IF($A31="","",SUMIF(Batting!$B:$B,$A31,Batting!$F:$F))
</f>
        <v/>
      </c>
      <c r="J31" s="13" t="str">
        <f t="shared" si="1"/>
        <v/>
      </c>
      <c r="K31" s="13" t="str">
        <f t="shared" si="2"/>
        <v/>
      </c>
      <c r="M31" s="13" t="str">
        <f t="shared" si="3"/>
        <v/>
      </c>
      <c r="N31" s="13" t="str">
        <f>IF($A31="","",SUMIF(Bowling!$B:$B,$A31,Bowling!$E:$E))
</f>
        <v/>
      </c>
      <c r="O31" s="13" t="str">
        <f>IF($A31="","",SUMIF(Bowling!$B:$B,$A31,Bowling!$F:$F))
</f>
        <v/>
      </c>
      <c r="P31" s="13" t="str">
        <f t="shared" si="4"/>
        <v/>
      </c>
      <c r="R31" s="13" t="str">
        <f>IF($A31="","",SUMIF(Bowling!$B:$B,$A31,Bowling!$D:$D))
</f>
        <v/>
      </c>
      <c r="S31" s="13" t="str">
        <f>IF($A31="","",SUMIF(Bowling!$B:$B,$A31,Bowling!$J:$J))
</f>
        <v/>
      </c>
      <c r="T31" s="13" t="str">
        <f>IF($A31="","",SUMIF(Bowling!$B:$B,$A31,Bowling!$K:$K))
</f>
        <v/>
      </c>
      <c r="U31" s="13" t="str">
        <f>IF($A31="","",SUMIF(Bowling!$B:$B,$A31,Bowling!$H:$H))
</f>
        <v/>
      </c>
      <c r="V31" s="13" t="str">
        <f>IF($A31="","",SUMIF(Bowling!$B:$B,$A31,Bowling!$I:$I))
</f>
        <v/>
      </c>
    </row>
    <row r="32">
      <c r="B32" s="13" t="str">
        <f t="array" ref="B32">IF(A32="","",XLOOKUP(A32,Players!A:A,Players!B:B,""))
</f>
        <v/>
      </c>
      <c r="C32" s="13" t="str">
        <f>IF(A32="","",
MAX(
  COUNTIF(Batting!B:B,A32),
  COUNTIF(Bowling!B:B,A32),
  COUNTIF(Fielding!B:B,A32)
))
</f>
        <v/>
      </c>
      <c r="E32" s="13" t="str">
        <f>IF($A32="","",COUNTIFS(Batting!$B:$B,$A32,Batting!$G:$G,"No"))
</f>
        <v/>
      </c>
      <c r="F32" s="13" t="str">
        <f>IF($A32="","",SUMIF(Batting!$B:$B,$A32,Batting!$C:$C))
</f>
        <v/>
      </c>
      <c r="H32" s="13" t="str">
        <f>IF($A32="","",SUMIF(Batting!$B:$B,$A32,Batting!$E:$E))
</f>
        <v/>
      </c>
      <c r="I32" s="13" t="str">
        <f>IF($A32="","",SUMIF(Batting!$B:$B,$A32,Batting!$F:$F))
</f>
        <v/>
      </c>
      <c r="J32" s="13" t="str">
        <f t="shared" si="1"/>
        <v/>
      </c>
      <c r="K32" s="13" t="str">
        <f t="shared" si="2"/>
        <v/>
      </c>
      <c r="M32" s="13" t="str">
        <f t="shared" si="3"/>
        <v/>
      </c>
      <c r="N32" s="13" t="str">
        <f>IF($A32="","",SUMIF(Bowling!$B:$B,$A32,Bowling!$E:$E))
</f>
        <v/>
      </c>
      <c r="O32" s="13" t="str">
        <f>IF($A32="","",SUMIF(Bowling!$B:$B,$A32,Bowling!$F:$F))
</f>
        <v/>
      </c>
      <c r="R32" s="13" t="str">
        <f>IF($A32="","",SUMIF(Bowling!$B:$B,$A32,Bowling!$D:$D))
</f>
        <v/>
      </c>
      <c r="S32" s="13" t="str">
        <f>IF($A32="","",SUMIF(Bowling!$B:$B,$A32,Bowling!$J:$J))
</f>
        <v/>
      </c>
      <c r="V32" s="13" t="str">
        <f>IF($A32="","",SUMIF(Bowling!$B:$B,$A32,Bowling!$I:$I))
</f>
        <v/>
      </c>
    </row>
    <row r="33">
      <c r="B33" s="13" t="str">
        <f t="array" ref="B33">IF(A33="","",XLOOKUP(A33,Players!A:A,Players!B:B,""))
</f>
        <v/>
      </c>
      <c r="C33" s="13" t="str">
        <f>IF(A33="","",
MAX(
  COUNTIF(Batting!B:B,A33),
  COUNTIF(Bowling!B:B,A33),
  COUNTIF(Fielding!B:B,A33)
))
</f>
        <v/>
      </c>
      <c r="I33" s="13" t="str">
        <f>IF($A33="","",SUMIF(Batting!$B:$B,$A33,Batting!$F:$F))
</f>
        <v/>
      </c>
      <c r="K33" s="13" t="str">
        <f t="shared" si="2"/>
        <v/>
      </c>
      <c r="M33" s="13" t="str">
        <f t="shared" si="3"/>
        <v/>
      </c>
      <c r="N33" s="13" t="str">
        <f>IF($A33="","",SUMIF(Bowling!$B:$B,$A33,Bowling!$E:$E))
</f>
        <v/>
      </c>
      <c r="O33" s="13" t="str">
        <f>IF($A33="","",SUMIF(Bowling!$B:$B,$A33,Bowling!$F:$F))
</f>
        <v/>
      </c>
      <c r="R33" s="13" t="str">
        <f>IF($A33="","",SUMIF(Bowling!$B:$B,$A33,Bowling!$D:$D))
</f>
        <v/>
      </c>
    </row>
    <row r="34">
      <c r="B34" s="13" t="str">
        <f t="array" ref="B34">IF(A34="","",XLOOKUP(A34,Players!A:A,Players!B:B,""))
</f>
        <v/>
      </c>
      <c r="C34" s="13" t="str">
        <f>IF(A34="","",
MAX(
  COUNTIF(Batting!B:B,A34),
  COUNTIF(Bowling!B:B,A34),
  COUNTIF(Fielding!B:B,A34)
))
</f>
        <v/>
      </c>
      <c r="I34" s="13" t="str">
        <f>IF($A34="","",SUMIF(Batting!$B:$B,$A34,Batting!$F:$F))
</f>
        <v/>
      </c>
      <c r="K34" s="13" t="str">
        <f t="shared" si="2"/>
        <v/>
      </c>
      <c r="M34" s="13" t="str">
        <f t="shared" si="3"/>
        <v/>
      </c>
      <c r="O34" s="13" t="str">
        <f>IF($A34="","",SUMIF(Bowling!$B:$B,$A34,Bowling!$F:$F))
</f>
        <v/>
      </c>
      <c r="R34" s="13" t="str">
        <f>IF($A34="","",SUMIF(Bowling!$B:$B,$A34,Bowling!$D:$D))
</f>
        <v/>
      </c>
    </row>
    <row r="35">
      <c r="B35" s="13" t="str">
        <f t="array" ref="B35">IF(A35="","",XLOOKUP(A35,Players!A:A,Players!B:B,""))
</f>
        <v/>
      </c>
      <c r="I35" s="13" t="str">
        <f>IF($A35="","",SUMIF(Batting!$B:$B,$A35,Batting!$F:$F))
</f>
        <v/>
      </c>
      <c r="M35" s="13" t="str">
        <f t="shared" si="3"/>
        <v/>
      </c>
    </row>
    <row r="36">
      <c r="I36" s="13" t="str">
        <f>IF($A36="","",SUMIF(Batting!$B:$B,$A36,Batting!$F:$F))
</f>
        <v/>
      </c>
      <c r="M36" s="13" t="str">
        <f t="shared" si="3"/>
        <v/>
      </c>
    </row>
    <row r="37">
      <c r="I37" s="13" t="str">
        <f>IF($A37="","",SUMIF(Batting!$B:$B,$A37,Batting!$F:$F))
</f>
        <v/>
      </c>
      <c r="M37" s="13" t="str">
        <f t="shared" si="3"/>
        <v/>
      </c>
    </row>
    <row r="38">
      <c r="I38" s="13" t="str">
        <f>IF($A38="","",SUMIF(Batting!$B:$B,$A38,Batting!$F:$F))
</f>
        <v/>
      </c>
      <c r="M38" s="13" t="str">
        <f t="shared" si="3"/>
        <v/>
      </c>
    </row>
    <row r="39">
      <c r="I39" s="13" t="str">
        <f>IF($A39="","",SUMIF(Batting!$B:$B,$A39,Batting!$F:$F))
</f>
        <v/>
      </c>
      <c r="M39" s="13" t="str">
        <f t="shared" si="3"/>
        <v/>
      </c>
    </row>
    <row r="40">
      <c r="I40" s="13" t="str">
        <f>IF($A40="","",SUMIF(Batting!$B:$B,$A40,Batting!$F:$F))
</f>
        <v/>
      </c>
      <c r="M40" s="13" t="str">
        <f t="shared" si="3"/>
        <v/>
      </c>
    </row>
    <row r="41">
      <c r="I41" s="13" t="str">
        <f>IF($A41="","",SUMIF(Batting!$B:$B,$A41,Batting!$F:$F))
</f>
        <v/>
      </c>
      <c r="M41" s="13" t="str">
        <f t="shared" si="3"/>
        <v/>
      </c>
    </row>
    <row r="42">
      <c r="M42" s="13" t="str">
        <f t="shared" si="3"/>
        <v/>
      </c>
    </row>
    <row r="43">
      <c r="M43" s="13" t="str">
        <f t="shared" si="3"/>
        <v/>
      </c>
    </row>
    <row r="44">
      <c r="M44" s="13" t="str">
        <f t="shared" si="3"/>
        <v/>
      </c>
    </row>
    <row r="45">
      <c r="M45" s="13" t="str">
        <f t="shared" si="3"/>
        <v/>
      </c>
    </row>
    <row r="46">
      <c r="M46" s="13" t="str">
        <f t="shared" si="3"/>
        <v/>
      </c>
    </row>
    <row r="47">
      <c r="M47" s="13" t="str">
        <f t="shared" si="3"/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1">
      <c r="A1" s="11" t="s">
        <v>146</v>
      </c>
      <c r="E1" s="11" t="s">
        <v>147</v>
      </c>
      <c r="I1" s="11" t="s">
        <v>148</v>
      </c>
    </row>
    <row r="2">
      <c r="A2" s="11" t="s">
        <v>48</v>
      </c>
      <c r="B2" s="11" t="s">
        <v>134</v>
      </c>
      <c r="C2" s="11" t="s">
        <v>109</v>
      </c>
      <c r="D2" s="11" t="s">
        <v>137</v>
      </c>
      <c r="E2" s="11" t="s">
        <v>48</v>
      </c>
      <c r="F2" s="11" t="s">
        <v>11</v>
      </c>
      <c r="G2" s="11" t="s">
        <v>141</v>
      </c>
      <c r="H2" s="11" t="s">
        <v>142</v>
      </c>
      <c r="I2" s="11" t="s">
        <v>48</v>
      </c>
      <c r="J2" s="11" t="s">
        <v>134</v>
      </c>
      <c r="K2" s="11" t="s">
        <v>131</v>
      </c>
      <c r="L2" s="11" t="s">
        <v>132</v>
      </c>
    </row>
    <row r="3">
      <c r="A3" s="13" t="str">
        <f>IFERROR(__xludf.DUMMYFUNCTION("SORT(
  FILTER(
    {
      Player_Career_Stats!B2:B1000,
      Player_Career_Stats!C2:C1000,
      Player_Career_Stats!F2:F1000,
      Player_Career_Stats!J2:J1000
    },
    Player_Career_Stats!B2:B1000&lt;&gt;"""",
    Player_Career_Stats!F2:F1000&gt;0
  ),
  3"&amp;", FALSE
)"),"Sriram A")</f>
        <v>Sriram A</v>
      </c>
      <c r="B3" s="13">
        <f>IFERROR(__xludf.DUMMYFUNCTION("""COMPUTED_VALUE"""),9.0)</f>
        <v>9</v>
      </c>
      <c r="C3" s="13">
        <f>IFERROR(__xludf.DUMMYFUNCTION("""COMPUTED_VALUE"""),249.0)</f>
        <v>249</v>
      </c>
      <c r="D3" s="13">
        <f>IFERROR(__xludf.DUMMYFUNCTION("""COMPUTED_VALUE"""),27.67)</f>
        <v>27.67</v>
      </c>
      <c r="E3" s="13" t="str">
        <f>IFERROR(__xludf.DUMMYFUNCTION("SORT(
  FILTER(
    {
      Player_Career_Stats!B2:B1000,
      Player_Career_Stats!M2:M1000,
      Player_Career_Stats!O2:O1000,
      Player_Career_Stats!P2:P1000
    },
    Player_Career_Stats!B2:B1000&lt;&gt;"""",
    Player_Career_Stats!O2:O1000&gt;0
  ),
  3"&amp;", FALSE,
  4, TRUE
)
"),"Jeeva")</f>
        <v>Jeeva</v>
      </c>
      <c r="F3" s="13">
        <f>IFERROR(__xludf.DUMMYFUNCTION("""COMPUTED_VALUE"""),35.0)</f>
        <v>35</v>
      </c>
      <c r="G3" s="13">
        <f>IFERROR(__xludf.DUMMYFUNCTION("""COMPUTED_VALUE"""),11.0)</f>
        <v>11</v>
      </c>
      <c r="H3" s="13">
        <f>IFERROR(__xludf.DUMMYFUNCTION("""COMPUTED_VALUE"""),6.94)</f>
        <v>6.94</v>
      </c>
      <c r="I3" s="13" t="str">
        <f>IFERROR(__xludf.DUMMYFUNCTION("SORT(
  FILTER(
    {
      Player_Career_Stats!B2:B1000,
      Player_Career_Stats!C2:C1000,
      Player_Career_Stats!W2:W1000,
      Player_Career_Stats!X2:X1000
    },
    Player_Career_Stats!B2:B1000&lt;&gt;"""",
    (Player_Career_Stats!W2:W1000 + Player_"&amp;"Career_Stats!X2:X1000) &gt; 0
  ),
  3, FALSE
)
"),"Sriram A")</f>
        <v>Sriram A</v>
      </c>
      <c r="J3" s="13">
        <f>IFERROR(__xludf.DUMMYFUNCTION("""COMPUTED_VALUE"""),9.0)</f>
        <v>9</v>
      </c>
      <c r="K3" s="13">
        <f>IFERROR(__xludf.DUMMYFUNCTION("""COMPUTED_VALUE"""),8.0)</f>
        <v>8</v>
      </c>
      <c r="L3" s="13">
        <f>IFERROR(__xludf.DUMMYFUNCTION("""COMPUTED_VALUE"""),0.0)</f>
        <v>0</v>
      </c>
    </row>
    <row r="4">
      <c r="A4" s="13" t="str">
        <f>IFERROR(__xludf.DUMMYFUNCTION("""COMPUTED_VALUE"""),"Jeeva")</f>
        <v>Jeeva</v>
      </c>
      <c r="B4" s="13">
        <f>IFERROR(__xludf.DUMMYFUNCTION("""COMPUTED_VALUE"""),9.0)</f>
        <v>9</v>
      </c>
      <c r="C4" s="13">
        <f>IFERROR(__xludf.DUMMYFUNCTION("""COMPUTED_VALUE"""),163.0)</f>
        <v>163</v>
      </c>
      <c r="D4" s="13">
        <f>IFERROR(__xludf.DUMMYFUNCTION("""COMPUTED_VALUE"""),20.38)</f>
        <v>20.38</v>
      </c>
      <c r="E4" s="13" t="str">
        <f>IFERROR(__xludf.DUMMYFUNCTION("""COMPUTED_VALUE"""),"Ravi Shankar")</f>
        <v>Ravi Shankar</v>
      </c>
      <c r="F4" s="13">
        <f>IFERROR(__xludf.DUMMYFUNCTION("""COMPUTED_VALUE"""),29.5)</f>
        <v>29.5</v>
      </c>
      <c r="G4" s="13">
        <f>IFERROR(__xludf.DUMMYFUNCTION("""COMPUTED_VALUE"""),11.0)</f>
        <v>11</v>
      </c>
      <c r="H4" s="13">
        <f>IFERROR(__xludf.DUMMYFUNCTION("""COMPUTED_VALUE"""),7.78)</f>
        <v>7.78</v>
      </c>
      <c r="I4" s="13" t="str">
        <f>IFERROR(__xludf.DUMMYFUNCTION("""COMPUTED_VALUE"""),"Jeeva")</f>
        <v>Jeeva</v>
      </c>
      <c r="J4" s="13">
        <f>IFERROR(__xludf.DUMMYFUNCTION("""COMPUTED_VALUE"""),9.0)</f>
        <v>9</v>
      </c>
      <c r="K4" s="13">
        <f>IFERROR(__xludf.DUMMYFUNCTION("""COMPUTED_VALUE"""),5.0)</f>
        <v>5</v>
      </c>
      <c r="L4" s="13">
        <f>IFERROR(__xludf.DUMMYFUNCTION("""COMPUTED_VALUE"""),0.0)</f>
        <v>0</v>
      </c>
    </row>
    <row r="5">
      <c r="A5" s="13" t="str">
        <f>IFERROR(__xludf.DUMMYFUNCTION("""COMPUTED_VALUE"""),"Shivaganesh")</f>
        <v>Shivaganesh</v>
      </c>
      <c r="B5" s="13">
        <f>IFERROR(__xludf.DUMMYFUNCTION("""COMPUTED_VALUE"""),9.0)</f>
        <v>9</v>
      </c>
      <c r="C5" s="13">
        <f>IFERROR(__xludf.DUMMYFUNCTION("""COMPUTED_VALUE"""),146.0)</f>
        <v>146</v>
      </c>
      <c r="D5" s="13">
        <f>IFERROR(__xludf.DUMMYFUNCTION("""COMPUTED_VALUE"""),20.86)</f>
        <v>20.86</v>
      </c>
      <c r="E5" s="13" t="str">
        <f>IFERROR(__xludf.DUMMYFUNCTION("""COMPUTED_VALUE"""),"Bhuvaneshvaran A")</f>
        <v>Bhuvaneshvaran A</v>
      </c>
      <c r="F5" s="13">
        <f>IFERROR(__xludf.DUMMYFUNCTION("""COMPUTED_VALUE"""),16.4)</f>
        <v>16.4</v>
      </c>
      <c r="G5" s="13">
        <f>IFERROR(__xludf.DUMMYFUNCTION("""COMPUTED_VALUE"""),6.0)</f>
        <v>6</v>
      </c>
      <c r="H5" s="13">
        <f>IFERROR(__xludf.DUMMYFUNCTION("""COMPUTED_VALUE"""),6.66)</f>
        <v>6.66</v>
      </c>
      <c r="I5" s="13" t="str">
        <f>IFERROR(__xludf.DUMMYFUNCTION("""COMPUTED_VALUE"""),"Sanjay V")</f>
        <v>Sanjay V</v>
      </c>
      <c r="J5" s="13">
        <f>IFERROR(__xludf.DUMMYFUNCTION("""COMPUTED_VALUE"""),6.0)</f>
        <v>6</v>
      </c>
      <c r="K5" s="13">
        <f>IFERROR(__xludf.DUMMYFUNCTION("""COMPUTED_VALUE"""),4.0)</f>
        <v>4</v>
      </c>
      <c r="L5" s="13">
        <f>IFERROR(__xludf.DUMMYFUNCTION("""COMPUTED_VALUE"""),0.0)</f>
        <v>0</v>
      </c>
    </row>
    <row r="6">
      <c r="A6" s="13" t="str">
        <f>IFERROR(__xludf.DUMMYFUNCTION("""COMPUTED_VALUE"""),"Sanjay V")</f>
        <v>Sanjay V</v>
      </c>
      <c r="B6" s="13">
        <f>IFERROR(__xludf.DUMMYFUNCTION("""COMPUTED_VALUE"""),6.0)</f>
        <v>6</v>
      </c>
      <c r="C6" s="13">
        <f>IFERROR(__xludf.DUMMYFUNCTION("""COMPUTED_VALUE"""),119.0)</f>
        <v>119</v>
      </c>
      <c r="D6" s="13">
        <f>IFERROR(__xludf.DUMMYFUNCTION("""COMPUTED_VALUE"""),19.83)</f>
        <v>19.83</v>
      </c>
      <c r="E6" s="13" t="str">
        <f>IFERROR(__xludf.DUMMYFUNCTION("""COMPUTED_VALUE"""),"Shivaganesh")</f>
        <v>Shivaganesh</v>
      </c>
      <c r="F6" s="13">
        <f>IFERROR(__xludf.DUMMYFUNCTION("""COMPUTED_VALUE"""),27.0)</f>
        <v>27</v>
      </c>
      <c r="G6" s="13">
        <f>IFERROR(__xludf.DUMMYFUNCTION("""COMPUTED_VALUE"""),6.0)</f>
        <v>6</v>
      </c>
      <c r="H6" s="13">
        <f>IFERROR(__xludf.DUMMYFUNCTION("""COMPUTED_VALUE"""),7.74)</f>
        <v>7.74</v>
      </c>
      <c r="I6" s="13" t="str">
        <f>IFERROR(__xludf.DUMMYFUNCTION("""COMPUTED_VALUE"""),"Bhuvaneshvaran A")</f>
        <v>Bhuvaneshvaran A</v>
      </c>
      <c r="J6" s="13">
        <f>IFERROR(__xludf.DUMMYFUNCTION("""COMPUTED_VALUE"""),4.0)</f>
        <v>4</v>
      </c>
      <c r="K6" s="13">
        <f>IFERROR(__xludf.DUMMYFUNCTION("""COMPUTED_VALUE"""),4.0)</f>
        <v>4</v>
      </c>
      <c r="L6" s="13">
        <f>IFERROR(__xludf.DUMMYFUNCTION("""COMPUTED_VALUE"""),0.0)</f>
        <v>0</v>
      </c>
    </row>
    <row r="7">
      <c r="A7" s="13" t="str">
        <f>IFERROR(__xludf.DUMMYFUNCTION("""COMPUTED_VALUE"""),"Jai")</f>
        <v>Jai</v>
      </c>
      <c r="B7" s="13">
        <f>IFERROR(__xludf.DUMMYFUNCTION("""COMPUTED_VALUE"""),8.0)</f>
        <v>8</v>
      </c>
      <c r="C7" s="13">
        <f>IFERROR(__xludf.DUMMYFUNCTION("""COMPUTED_VALUE"""),85.0)</f>
        <v>85</v>
      </c>
      <c r="D7" s="13">
        <f>IFERROR(__xludf.DUMMYFUNCTION("""COMPUTED_VALUE"""),14.17)</f>
        <v>14.17</v>
      </c>
      <c r="E7" s="13" t="str">
        <f>IFERROR(__xludf.DUMMYFUNCTION("""COMPUTED_VALUE"""),"Sriram A")</f>
        <v>Sriram A</v>
      </c>
      <c r="F7" s="13">
        <f>IFERROR(__xludf.DUMMYFUNCTION("""COMPUTED_VALUE"""),29.5)</f>
        <v>29.5</v>
      </c>
      <c r="G7" s="13">
        <f>IFERROR(__xludf.DUMMYFUNCTION("""COMPUTED_VALUE"""),4.0)</f>
        <v>4</v>
      </c>
      <c r="H7" s="13">
        <f>IFERROR(__xludf.DUMMYFUNCTION("""COMPUTED_VALUE"""),7.31)</f>
        <v>7.31</v>
      </c>
      <c r="I7" s="13" t="str">
        <f>IFERROR(__xludf.DUMMYFUNCTION("""COMPUTED_VALUE"""),"Shivaganesh")</f>
        <v>Shivaganesh</v>
      </c>
      <c r="J7" s="13">
        <f>IFERROR(__xludf.DUMMYFUNCTION("""COMPUTED_VALUE"""),9.0)</f>
        <v>9</v>
      </c>
      <c r="K7" s="13">
        <f>IFERROR(__xludf.DUMMYFUNCTION("""COMPUTED_VALUE"""),3.0)</f>
        <v>3</v>
      </c>
      <c r="L7" s="13">
        <f>IFERROR(__xludf.DUMMYFUNCTION("""COMPUTED_VALUE"""),0.0)</f>
        <v>0</v>
      </c>
    </row>
    <row r="8">
      <c r="A8" s="13" t="str">
        <f>IFERROR(__xludf.DUMMYFUNCTION("""COMPUTED_VALUE"""),"Saravanan G")</f>
        <v>Saravanan G</v>
      </c>
      <c r="B8" s="13">
        <f>IFERROR(__xludf.DUMMYFUNCTION("""COMPUTED_VALUE"""),7.0)</f>
        <v>7</v>
      </c>
      <c r="C8" s="13">
        <f>IFERROR(__xludf.DUMMYFUNCTION("""COMPUTED_VALUE"""),55.0)</f>
        <v>55</v>
      </c>
      <c r="D8" s="13">
        <f>IFERROR(__xludf.DUMMYFUNCTION("""COMPUTED_VALUE"""),9.17)</f>
        <v>9.17</v>
      </c>
      <c r="E8" s="13" t="str">
        <f>IFERROR(__xludf.DUMMYFUNCTION("""COMPUTED_VALUE"""),"Jai")</f>
        <v>Jai</v>
      </c>
      <c r="F8" s="13">
        <f>IFERROR(__xludf.DUMMYFUNCTION("""COMPUTED_VALUE"""),15.1)</f>
        <v>15.1</v>
      </c>
      <c r="G8" s="13">
        <f>IFERROR(__xludf.DUMMYFUNCTION("""COMPUTED_VALUE"""),4.0)</f>
        <v>4</v>
      </c>
      <c r="H8" s="13">
        <f>IFERROR(__xludf.DUMMYFUNCTION("""COMPUTED_VALUE"""),8.11)</f>
        <v>8.11</v>
      </c>
      <c r="I8" s="13" t="str">
        <f>IFERROR(__xludf.DUMMYFUNCTION("""COMPUTED_VALUE"""),"Gautam Raj")</f>
        <v>Gautam Raj</v>
      </c>
      <c r="J8" s="13">
        <f>IFERROR(__xludf.DUMMYFUNCTION("""COMPUTED_VALUE"""),3.0)</f>
        <v>3</v>
      </c>
      <c r="K8" s="13">
        <f>IFERROR(__xludf.DUMMYFUNCTION("""COMPUTED_VALUE"""),1.0)</f>
        <v>1</v>
      </c>
      <c r="L8" s="13">
        <f>IFERROR(__xludf.DUMMYFUNCTION("""COMPUTED_VALUE"""),0.0)</f>
        <v>0</v>
      </c>
    </row>
    <row r="9">
      <c r="A9" s="13" t="str">
        <f>IFERROR(__xludf.DUMMYFUNCTION("""COMPUTED_VALUE"""),"Bhuvaneshvaran A")</f>
        <v>Bhuvaneshvaran A</v>
      </c>
      <c r="B9" s="13">
        <f>IFERROR(__xludf.DUMMYFUNCTION("""COMPUTED_VALUE"""),4.0)</f>
        <v>4</v>
      </c>
      <c r="C9" s="13">
        <f>IFERROR(__xludf.DUMMYFUNCTION("""COMPUTED_VALUE"""),53.0)</f>
        <v>53</v>
      </c>
      <c r="D9" s="13">
        <f>IFERROR(__xludf.DUMMYFUNCTION("""COMPUTED_VALUE"""),13.25)</f>
        <v>13.25</v>
      </c>
      <c r="E9" s="13" t="str">
        <f>IFERROR(__xludf.DUMMYFUNCTION("""COMPUTED_VALUE"""),"Gautam Raj")</f>
        <v>Gautam Raj</v>
      </c>
      <c r="F9" s="13">
        <f>IFERROR(__xludf.DUMMYFUNCTION("""COMPUTED_VALUE"""),7.4)</f>
        <v>7.4</v>
      </c>
      <c r="G9" s="13">
        <f>IFERROR(__xludf.DUMMYFUNCTION("""COMPUTED_VALUE"""),4.0)</f>
        <v>4</v>
      </c>
      <c r="H9" s="13">
        <f>IFERROR(__xludf.DUMMYFUNCTION("""COMPUTED_VALUE"""),8.61)</f>
        <v>8.61</v>
      </c>
      <c r="I9" s="13" t="str">
        <f>IFERROR(__xludf.DUMMYFUNCTION("""COMPUTED_VALUE"""),"Jai")</f>
        <v>Jai</v>
      </c>
      <c r="J9" s="13">
        <f>IFERROR(__xludf.DUMMYFUNCTION("""COMPUTED_VALUE"""),8.0)</f>
        <v>8</v>
      </c>
      <c r="K9" s="13">
        <f>IFERROR(__xludf.DUMMYFUNCTION("""COMPUTED_VALUE"""),1.0)</f>
        <v>1</v>
      </c>
      <c r="L9" s="13">
        <f>IFERROR(__xludf.DUMMYFUNCTION("""COMPUTED_VALUE"""),1.0)</f>
        <v>1</v>
      </c>
    </row>
    <row r="10">
      <c r="A10" s="13" t="str">
        <f>IFERROR(__xludf.DUMMYFUNCTION("""COMPUTED_VALUE"""),"Padhu")</f>
        <v>Padhu</v>
      </c>
      <c r="B10" s="13">
        <f>IFERROR(__xludf.DUMMYFUNCTION("""COMPUTED_VALUE"""),3.0)</f>
        <v>3</v>
      </c>
      <c r="C10" s="13">
        <f>IFERROR(__xludf.DUMMYFUNCTION("""COMPUTED_VALUE"""),41.0)</f>
        <v>41</v>
      </c>
      <c r="D10" s="13">
        <f>IFERROR(__xludf.DUMMYFUNCTION("""COMPUTED_VALUE"""),13.67)</f>
        <v>13.67</v>
      </c>
      <c r="E10" s="13" t="str">
        <f>IFERROR(__xludf.DUMMYFUNCTION("""COMPUTED_VALUE"""),"Manoj")</f>
        <v>Manoj</v>
      </c>
      <c r="F10" s="13">
        <f>IFERROR(__xludf.DUMMYFUNCTION("""COMPUTED_VALUE"""),9.0)</f>
        <v>9</v>
      </c>
      <c r="G10" s="13">
        <f>IFERROR(__xludf.DUMMYFUNCTION("""COMPUTED_VALUE"""),3.0)</f>
        <v>3</v>
      </c>
      <c r="H10" s="13">
        <f>IFERROR(__xludf.DUMMYFUNCTION("""COMPUTED_VALUE"""),4.67)</f>
        <v>4.67</v>
      </c>
      <c r="I10" s="13" t="str">
        <f>IFERROR(__xludf.DUMMYFUNCTION("""COMPUTED_VALUE"""),"Saravanan G")</f>
        <v>Saravanan G</v>
      </c>
      <c r="J10" s="13">
        <f>IFERROR(__xludf.DUMMYFUNCTION("""COMPUTED_VALUE"""),7.0)</f>
        <v>7</v>
      </c>
      <c r="K10" s="13">
        <f>IFERROR(__xludf.DUMMYFUNCTION("""COMPUTED_VALUE"""),1.0)</f>
        <v>1</v>
      </c>
      <c r="L10" s="13">
        <f>IFERROR(__xludf.DUMMYFUNCTION("""COMPUTED_VALUE"""),0.0)</f>
        <v>0</v>
      </c>
    </row>
    <row r="11">
      <c r="A11" s="13" t="str">
        <f>IFERROR(__xludf.DUMMYFUNCTION("""COMPUTED_VALUE"""),"Vivek")</f>
        <v>Vivek</v>
      </c>
      <c r="B11" s="13">
        <f>IFERROR(__xludf.DUMMYFUNCTION("""COMPUTED_VALUE"""),5.0)</f>
        <v>5</v>
      </c>
      <c r="C11" s="13">
        <f>IFERROR(__xludf.DUMMYFUNCTION("""COMPUTED_VALUE"""),34.0)</f>
        <v>34</v>
      </c>
      <c r="D11" s="13">
        <f>IFERROR(__xludf.DUMMYFUNCTION("""COMPUTED_VALUE"""),6.8)</f>
        <v>6.8</v>
      </c>
      <c r="E11" s="13" t="str">
        <f>IFERROR(__xludf.DUMMYFUNCTION("""COMPUTED_VALUE"""),"Senthil kumar")</f>
        <v>Senthil kumar</v>
      </c>
      <c r="F11" s="13">
        <f>IFERROR(__xludf.DUMMYFUNCTION("""COMPUTED_VALUE"""),9.0)</f>
        <v>9</v>
      </c>
      <c r="G11" s="13">
        <f>IFERROR(__xludf.DUMMYFUNCTION("""COMPUTED_VALUE"""),2.0)</f>
        <v>2</v>
      </c>
      <c r="H11" s="13">
        <f>IFERROR(__xludf.DUMMYFUNCTION("""COMPUTED_VALUE"""),10.11)</f>
        <v>10.11</v>
      </c>
      <c r="I11" s="13" t="str">
        <f>IFERROR(__xludf.DUMMYFUNCTION("""COMPUTED_VALUE"""),"Senthil kumar")</f>
        <v>Senthil kumar</v>
      </c>
      <c r="J11" s="13">
        <f>IFERROR(__xludf.DUMMYFUNCTION("""COMPUTED_VALUE"""),4.0)</f>
        <v>4</v>
      </c>
      <c r="K11" s="13">
        <f>IFERROR(__xludf.DUMMYFUNCTION("""COMPUTED_VALUE"""),1.0)</f>
        <v>1</v>
      </c>
      <c r="L11" s="13">
        <f>IFERROR(__xludf.DUMMYFUNCTION("""COMPUTED_VALUE"""),0.0)</f>
        <v>0</v>
      </c>
    </row>
    <row r="12">
      <c r="A12" s="13" t="str">
        <f>IFERROR(__xludf.DUMMYFUNCTION("""COMPUTED_VALUE"""),"Ahil")</f>
        <v>Ahil</v>
      </c>
      <c r="B12" s="13">
        <f>IFERROR(__xludf.DUMMYFUNCTION("""COMPUTED_VALUE"""),2.0)</f>
        <v>2</v>
      </c>
      <c r="C12" s="13">
        <f>IFERROR(__xludf.DUMMYFUNCTION("""COMPUTED_VALUE"""),26.0)</f>
        <v>26</v>
      </c>
      <c r="D12" s="13">
        <f>IFERROR(__xludf.DUMMYFUNCTION("""COMPUTED_VALUE"""),13.0)</f>
        <v>13</v>
      </c>
      <c r="E12" s="13" t="str">
        <f>IFERROR(__xludf.DUMMYFUNCTION("""COMPUTED_VALUE"""),"Padhu")</f>
        <v>Padhu</v>
      </c>
      <c r="F12" s="13">
        <f>IFERROR(__xludf.DUMMYFUNCTION("""COMPUTED_VALUE"""),8.0)</f>
        <v>8</v>
      </c>
      <c r="G12" s="13">
        <f>IFERROR(__xludf.DUMMYFUNCTION("""COMPUTED_VALUE"""),1.0)</f>
        <v>1</v>
      </c>
      <c r="H12" s="13">
        <f>IFERROR(__xludf.DUMMYFUNCTION("""COMPUTED_VALUE"""),7.38)</f>
        <v>7.38</v>
      </c>
      <c r="I12" s="13" t="str">
        <f>IFERROR(__xludf.DUMMYFUNCTION("""COMPUTED_VALUE"""),"Tharun M")</f>
        <v>Tharun M</v>
      </c>
      <c r="J12" s="13">
        <f>IFERROR(__xludf.DUMMYFUNCTION("""COMPUTED_VALUE"""),5.0)</f>
        <v>5</v>
      </c>
      <c r="K12" s="13">
        <f>IFERROR(__xludf.DUMMYFUNCTION("""COMPUTED_VALUE"""),1.0)</f>
        <v>1</v>
      </c>
      <c r="L12" s="13">
        <f>IFERROR(__xludf.DUMMYFUNCTION("""COMPUTED_VALUE"""),0.0)</f>
        <v>0</v>
      </c>
    </row>
    <row r="13">
      <c r="A13" s="13" t="str">
        <f>IFERROR(__xludf.DUMMYFUNCTION("""COMPUTED_VALUE"""),"Tharun M")</f>
        <v>Tharun M</v>
      </c>
      <c r="B13" s="13">
        <f>IFERROR(__xludf.DUMMYFUNCTION("""COMPUTED_VALUE"""),5.0)</f>
        <v>5</v>
      </c>
      <c r="C13" s="13">
        <f>IFERROR(__xludf.DUMMYFUNCTION("""COMPUTED_VALUE"""),20.0)</f>
        <v>20</v>
      </c>
      <c r="D13" s="13">
        <f>IFERROR(__xludf.DUMMYFUNCTION("""COMPUTED_VALUE"""),4.0)</f>
        <v>4</v>
      </c>
      <c r="E13" s="13" t="str">
        <f>IFERROR(__xludf.DUMMYFUNCTION("""COMPUTED_VALUE"""),"Saravanan G")</f>
        <v>Saravanan G</v>
      </c>
      <c r="F13" s="13">
        <f>IFERROR(__xludf.DUMMYFUNCTION("""COMPUTED_VALUE"""),2.0)</f>
        <v>2</v>
      </c>
      <c r="G13" s="13">
        <f>IFERROR(__xludf.DUMMYFUNCTION("""COMPUTED_VALUE"""),1.0)</f>
        <v>1</v>
      </c>
      <c r="H13" s="13">
        <f>IFERROR(__xludf.DUMMYFUNCTION("""COMPUTED_VALUE"""),8.5)</f>
        <v>8.5</v>
      </c>
      <c r="I13" s="13" t="str">
        <f>IFERROR(__xludf.DUMMYFUNCTION("""COMPUTED_VALUE"""),"Mahesh")</f>
        <v>Mahesh</v>
      </c>
      <c r="J13" s="13">
        <f>IFERROR(__xludf.DUMMYFUNCTION("""COMPUTED_VALUE"""),2.0)</f>
        <v>2</v>
      </c>
      <c r="K13" s="13">
        <f>IFERROR(__xludf.DUMMYFUNCTION("""COMPUTED_VALUE"""),1.0)</f>
        <v>1</v>
      </c>
      <c r="L13" s="13">
        <f>IFERROR(__xludf.DUMMYFUNCTION("""COMPUTED_VALUE"""),0.0)</f>
        <v>0</v>
      </c>
    </row>
    <row r="14">
      <c r="A14" s="13" t="str">
        <f>IFERROR(__xludf.DUMMYFUNCTION("""COMPUTED_VALUE"""),"Senthil kumar")</f>
        <v>Senthil kumar</v>
      </c>
      <c r="B14" s="13">
        <f>IFERROR(__xludf.DUMMYFUNCTION("""COMPUTED_VALUE"""),4.0)</f>
        <v>4</v>
      </c>
      <c r="C14" s="13">
        <f>IFERROR(__xludf.DUMMYFUNCTION("""COMPUTED_VALUE"""),18.0)</f>
        <v>18</v>
      </c>
      <c r="D14" s="13">
        <f>IFERROR(__xludf.DUMMYFUNCTION("""COMPUTED_VALUE"""),6.0)</f>
        <v>6</v>
      </c>
      <c r="E14" s="13" t="str">
        <f>IFERROR(__xludf.DUMMYFUNCTION("""COMPUTED_VALUE"""),"Vikram")</f>
        <v>Vikram</v>
      </c>
      <c r="F14" s="13">
        <f>IFERROR(__xludf.DUMMYFUNCTION("""COMPUTED_VALUE"""),4.0)</f>
        <v>4</v>
      </c>
      <c r="G14" s="13">
        <f>IFERROR(__xludf.DUMMYFUNCTION("""COMPUTED_VALUE"""),1.0)</f>
        <v>1</v>
      </c>
      <c r="H14" s="13">
        <f>IFERROR(__xludf.DUMMYFUNCTION("""COMPUTED_VALUE"""),8.5)</f>
        <v>8.5</v>
      </c>
      <c r="I14" s="13" t="str">
        <f>IFERROR(__xludf.DUMMYFUNCTION("""COMPUTED_VALUE"""),"Vivek")</f>
        <v>Vivek</v>
      </c>
      <c r="J14" s="13">
        <f>IFERROR(__xludf.DUMMYFUNCTION("""COMPUTED_VALUE"""),5.0)</f>
        <v>5</v>
      </c>
      <c r="K14" s="13">
        <f>IFERROR(__xludf.DUMMYFUNCTION("""COMPUTED_VALUE"""),1.0)</f>
        <v>1</v>
      </c>
      <c r="L14" s="13">
        <f>IFERROR(__xludf.DUMMYFUNCTION("""COMPUTED_VALUE"""),0.0)</f>
        <v>0</v>
      </c>
    </row>
    <row r="15">
      <c r="A15" s="13" t="str">
        <f>IFERROR(__xludf.DUMMYFUNCTION("""COMPUTED_VALUE"""),"Manoj")</f>
        <v>Manoj</v>
      </c>
      <c r="B15" s="13">
        <f>IFERROR(__xludf.DUMMYFUNCTION("""COMPUTED_VALUE"""),2.0)</f>
        <v>2</v>
      </c>
      <c r="C15" s="13">
        <f>IFERROR(__xludf.DUMMYFUNCTION("""COMPUTED_VALUE"""),16.0)</f>
        <v>16</v>
      </c>
      <c r="D15" s="13">
        <f>IFERROR(__xludf.DUMMYFUNCTION("""COMPUTED_VALUE"""),8.0)</f>
        <v>8</v>
      </c>
      <c r="E15" s="13" t="str">
        <f>IFERROR(__xludf.DUMMYFUNCTION("""COMPUTED_VALUE"""),"Mahesh")</f>
        <v>Mahesh</v>
      </c>
      <c r="F15" s="13">
        <f>IFERROR(__xludf.DUMMYFUNCTION("""COMPUTED_VALUE"""),3.0)</f>
        <v>3</v>
      </c>
      <c r="G15" s="13">
        <f>IFERROR(__xludf.DUMMYFUNCTION("""COMPUTED_VALUE"""),1.0)</f>
        <v>1</v>
      </c>
      <c r="H15" s="13">
        <f>IFERROR(__xludf.DUMMYFUNCTION("""COMPUTED_VALUE"""),9.33)</f>
        <v>9.33</v>
      </c>
      <c r="I15" s="13" t="str">
        <f>IFERROR(__xludf.DUMMYFUNCTION("""COMPUTED_VALUE"""),"Ravi Shankar")</f>
        <v>Ravi Shankar</v>
      </c>
      <c r="J15" s="13">
        <f>IFERROR(__xludf.DUMMYFUNCTION("""COMPUTED_VALUE"""),8.0)</f>
        <v>8</v>
      </c>
      <c r="K15" s="13">
        <f>IFERROR(__xludf.DUMMYFUNCTION("""COMPUTED_VALUE"""),0.0)</f>
        <v>0</v>
      </c>
      <c r="L15" s="13">
        <f>IFERROR(__xludf.DUMMYFUNCTION("""COMPUTED_VALUE"""),1.0)</f>
        <v>1</v>
      </c>
    </row>
    <row r="16">
      <c r="A16" s="13" t="str">
        <f>IFERROR(__xludf.DUMMYFUNCTION("""COMPUTED_VALUE"""),"Karthik")</f>
        <v>Karthik</v>
      </c>
      <c r="B16" s="13">
        <f>IFERROR(__xludf.DUMMYFUNCTION("""COMPUTED_VALUE"""),1.0)</f>
        <v>1</v>
      </c>
      <c r="C16" s="13">
        <f>IFERROR(__xludf.DUMMYFUNCTION("""COMPUTED_VALUE"""),14.0)</f>
        <v>14</v>
      </c>
      <c r="D16" s="13" t="str">
        <f>IFERROR(__xludf.DUMMYFUNCTION("""COMPUTED_VALUE"""),"-")</f>
        <v>-</v>
      </c>
    </row>
    <row r="17">
      <c r="A17" s="13" t="str">
        <f>IFERROR(__xludf.DUMMYFUNCTION("""COMPUTED_VALUE"""),"Ravi Shankar")</f>
        <v>Ravi Shankar</v>
      </c>
      <c r="B17" s="13">
        <f>IFERROR(__xludf.DUMMYFUNCTION("""COMPUTED_VALUE"""),8.0)</f>
        <v>8</v>
      </c>
      <c r="C17" s="13">
        <f>IFERROR(__xludf.DUMMYFUNCTION("""COMPUTED_VALUE"""),11.0)</f>
        <v>11</v>
      </c>
      <c r="D17" s="13">
        <f>IFERROR(__xludf.DUMMYFUNCTION("""COMPUTED_VALUE"""),5.5)</f>
        <v>5.5</v>
      </c>
    </row>
    <row r="18">
      <c r="A18" s="13" t="str">
        <f>IFERROR(__xludf.DUMMYFUNCTION("""COMPUTED_VALUE"""),"Gautam Raj")</f>
        <v>Gautam Raj</v>
      </c>
      <c r="B18" s="13">
        <f>IFERROR(__xludf.DUMMYFUNCTION("""COMPUTED_VALUE"""),3.0)</f>
        <v>3</v>
      </c>
      <c r="C18" s="13">
        <f>IFERROR(__xludf.DUMMYFUNCTION("""COMPUTED_VALUE"""),4.0)</f>
        <v>4</v>
      </c>
      <c r="D18" s="13">
        <f>IFERROR(__xludf.DUMMYFUNCTION("""COMPUTED_VALUE"""),1.33)</f>
        <v>1.33</v>
      </c>
    </row>
    <row r="19">
      <c r="A19" s="13" t="str">
        <f>IFERROR(__xludf.DUMMYFUNCTION("""COMPUTED_VALUE"""),"Naveen")</f>
        <v>Naveen</v>
      </c>
      <c r="B19" s="13">
        <f>IFERROR(__xludf.DUMMYFUNCTION("""COMPUTED_VALUE"""),1.0)</f>
        <v>1</v>
      </c>
      <c r="C19" s="13">
        <f>IFERROR(__xludf.DUMMYFUNCTION("""COMPUTED_VALUE"""),4.0)</f>
        <v>4</v>
      </c>
      <c r="D19" s="13">
        <f>IFERROR(__xludf.DUMMYFUNCTION("""COMPUTED_VALUE"""),4.0)</f>
        <v>4</v>
      </c>
    </row>
    <row r="20">
      <c r="A20" s="13" t="str">
        <f>IFERROR(__xludf.DUMMYFUNCTION("""COMPUTED_VALUE"""),"Prasanth G")</f>
        <v>Prasanth G</v>
      </c>
      <c r="B20" s="13">
        <f>IFERROR(__xludf.DUMMYFUNCTION("""COMPUTED_VALUE"""),1.0)</f>
        <v>1</v>
      </c>
      <c r="C20" s="13">
        <f>IFERROR(__xludf.DUMMYFUNCTION("""COMPUTED_VALUE"""),2.0)</f>
        <v>2</v>
      </c>
      <c r="D20" s="13">
        <f>IFERROR(__xludf.DUMMYFUNCTION("""COMPUTED_VALUE"""),2.0)</f>
        <v>2</v>
      </c>
    </row>
    <row r="21">
      <c r="A21" s="13" t="str">
        <f>IFERROR(__xludf.DUMMYFUNCTION("""COMPUTED_VALUE"""),"Mukundhan S
")</f>
        <v>Mukundhan S
</v>
      </c>
      <c r="B21" s="13">
        <f>IFERROR(__xludf.DUMMYFUNCTION("""COMPUTED_VALUE"""),1.0)</f>
        <v>1</v>
      </c>
      <c r="C21" s="13">
        <f>IFERROR(__xludf.DUMMYFUNCTION("""COMPUTED_VALUE"""),1.0)</f>
        <v>1</v>
      </c>
      <c r="D21" s="13">
        <f>IFERROR(__xludf.DUMMYFUNCTION("""COMPUTED_VALUE"""),1.0)</f>
        <v>1</v>
      </c>
    </row>
    <row r="22">
      <c r="A22" s="13" t="str">
        <f>IFERROR(__xludf.DUMMYFUNCTION("""COMPUTED_VALUE"""),"Imtiyaz")</f>
        <v>Imtiyaz</v>
      </c>
      <c r="B22" s="13">
        <f>IFERROR(__xludf.DUMMYFUNCTION("""COMPUTED_VALUE"""),1.0)</f>
        <v>1</v>
      </c>
      <c r="C22" s="13">
        <f>IFERROR(__xludf.DUMMYFUNCTION("""COMPUTED_VALUE"""),1.0)</f>
        <v>1</v>
      </c>
      <c r="D22" s="13">
        <f>IFERROR(__xludf.DUMMYFUNCTION("""COMPUTED_VALUE"""),1.0)</f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134</v>
      </c>
      <c r="B1" s="11" t="s">
        <v>35</v>
      </c>
      <c r="C1" s="11" t="s">
        <v>28</v>
      </c>
      <c r="D1" s="11" t="s">
        <v>37</v>
      </c>
      <c r="E1" s="11" t="s">
        <v>33</v>
      </c>
      <c r="F1" s="14" t="s">
        <v>149</v>
      </c>
      <c r="G1" s="11" t="s">
        <v>150</v>
      </c>
      <c r="H1" s="11" t="s">
        <v>151</v>
      </c>
      <c r="I1" s="11" t="s">
        <v>152</v>
      </c>
      <c r="J1" s="11" t="s">
        <v>153</v>
      </c>
      <c r="K1" s="11" t="s">
        <v>154</v>
      </c>
    </row>
    <row r="2">
      <c r="A2" s="13">
        <f>COUNTIF(Matches!A2:A1000,"&lt;&gt;")
</f>
        <v>9</v>
      </c>
      <c r="B2" s="13">
        <f>COUNTIF(Matches!U2:U1000,"Won")
</f>
        <v>0</v>
      </c>
      <c r="C2" s="13">
        <f>COUNTIF(Matches!U2:U1000,"Lost")
</f>
        <v>7</v>
      </c>
      <c r="D2" s="13">
        <f>COUNTIF(Matches!U2:U1000,"Tie")</f>
        <v>1</v>
      </c>
      <c r="E2" s="13">
        <f>COUNTIF(Matches!U2:U1000,"No Result")
</f>
        <v>1</v>
      </c>
      <c r="F2" s="15">
        <f>IF(A2=0,0,ROUND(B2/A2*100,2))
</f>
        <v>0</v>
      </c>
      <c r="G2" s="13">
        <f>IF(A2=0,0,ROUND(AVERAGE(Matches!C2:C1000),2))
</f>
        <v>145.78</v>
      </c>
      <c r="H2" s="13">
        <f>IF(A2=0,0,ROUND(AVERAGE(Matches!F2:F1000),2))
</f>
        <v>181.89</v>
      </c>
      <c r="I2" s="13">
        <f t="array" ref="I2">IF(A2=0,0,
ROUND(
  SUM(Matches!C2:C1000) / ( 
    SUM(IF(Matches!E2:E1000&lt;&gt;"",(INT(Matches!E2:E1000)*6)+ROUND((Matches!E2:E1000-INT(Matches!E2:E1000))*10,0),0)) / 6
  ),
2))
</f>
        <v>6.41</v>
      </c>
      <c r="J2" s="13">
        <f t="array" ref="J2">IF(A2=0,0,
ROUND(
  SUM(Matches!F2:F1000) / ( 
    SUM(IF(Matches!H2:H1000&lt;&gt;"",(INT(Matches!H2:H1000)*6)+ROUND((Matches!H2:H1000-INT(Matches!H2:H1000))*10,0),0)) / 6
  ),
2))
</f>
        <v>7.79</v>
      </c>
      <c r="K2" s="13">
        <f>ROUND(I2-J2,2)
</f>
        <v>-1.38</v>
      </c>
    </row>
    <row r="3">
      <c r="F3" s="15"/>
    </row>
    <row r="4">
      <c r="F4" s="15"/>
    </row>
    <row r="5">
      <c r="F5" s="15"/>
    </row>
    <row r="6">
      <c r="F6" s="15"/>
    </row>
    <row r="7">
      <c r="F7" s="15"/>
    </row>
    <row r="8">
      <c r="F8" s="15"/>
    </row>
    <row r="9">
      <c r="F9" s="15"/>
    </row>
    <row r="10">
      <c r="F10" s="15"/>
    </row>
    <row r="11">
      <c r="F11" s="15"/>
    </row>
    <row r="12">
      <c r="F12" s="15"/>
    </row>
    <row r="13">
      <c r="F13" s="15"/>
    </row>
    <row r="14">
      <c r="F14" s="15"/>
    </row>
    <row r="15">
      <c r="F15" s="15"/>
    </row>
    <row r="16">
      <c r="F16" s="15"/>
    </row>
    <row r="17">
      <c r="F17" s="15"/>
    </row>
    <row r="18">
      <c r="F18" s="15"/>
    </row>
    <row r="19">
      <c r="F19" s="15"/>
    </row>
    <row r="20">
      <c r="F20" s="15"/>
    </row>
    <row r="21">
      <c r="F21" s="15"/>
    </row>
    <row r="22">
      <c r="F22" s="15"/>
    </row>
    <row r="23">
      <c r="F23" s="15"/>
    </row>
    <row r="24">
      <c r="F24" s="15"/>
    </row>
    <row r="25">
      <c r="F25" s="15"/>
    </row>
    <row r="26">
      <c r="F26" s="15"/>
    </row>
    <row r="27">
      <c r="F27" s="15"/>
    </row>
    <row r="28">
      <c r="F28" s="15"/>
    </row>
    <row r="29">
      <c r="F29" s="15"/>
    </row>
    <row r="30">
      <c r="F30" s="15"/>
    </row>
    <row r="31">
      <c r="F31" s="15"/>
    </row>
    <row r="32">
      <c r="F32" s="15"/>
    </row>
    <row r="33">
      <c r="F33" s="15"/>
    </row>
    <row r="34">
      <c r="F34" s="15"/>
    </row>
    <row r="35">
      <c r="F35" s="15"/>
    </row>
    <row r="36">
      <c r="F36" s="15"/>
    </row>
    <row r="37">
      <c r="F37" s="15"/>
    </row>
    <row r="38">
      <c r="F38" s="15"/>
    </row>
    <row r="39">
      <c r="F39" s="15"/>
    </row>
    <row r="40">
      <c r="F40" s="15"/>
    </row>
    <row r="41">
      <c r="F41" s="15"/>
    </row>
    <row r="42">
      <c r="F42" s="15"/>
    </row>
    <row r="43">
      <c r="F43" s="15"/>
    </row>
    <row r="44">
      <c r="F44" s="15"/>
    </row>
    <row r="45">
      <c r="F45" s="15"/>
    </row>
    <row r="46">
      <c r="F46" s="15"/>
    </row>
    <row r="47">
      <c r="F47" s="15"/>
    </row>
    <row r="48">
      <c r="F48" s="15"/>
    </row>
    <row r="49">
      <c r="F49" s="15"/>
    </row>
    <row r="50">
      <c r="F50" s="15"/>
    </row>
    <row r="51">
      <c r="F51" s="15"/>
    </row>
    <row r="52">
      <c r="F52" s="15"/>
    </row>
    <row r="53">
      <c r="F53" s="15"/>
    </row>
    <row r="54">
      <c r="F54" s="15"/>
    </row>
    <row r="55">
      <c r="F55" s="15"/>
    </row>
    <row r="56">
      <c r="F56" s="15"/>
    </row>
    <row r="57">
      <c r="F57" s="15"/>
    </row>
    <row r="58">
      <c r="F58" s="15"/>
    </row>
    <row r="59">
      <c r="F59" s="15"/>
    </row>
    <row r="60">
      <c r="F60" s="15"/>
    </row>
    <row r="61">
      <c r="F61" s="15"/>
    </row>
    <row r="62"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rawing r:id="rId1"/>
</worksheet>
</file>